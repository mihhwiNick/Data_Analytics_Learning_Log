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42F3DA7F-9A47-4048-A3ED-BCADB396A9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definedNames>
    <definedName name="solver_adj" localSheetId="0" hidden="1">Sheet2!$B$4:$G$4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Sheet2!$L$2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2" i="2" l="1"/>
  <c r="I92" i="2" s="1"/>
  <c r="H91" i="2"/>
  <c r="I91" i="2" s="1"/>
  <c r="H90" i="2"/>
  <c r="I90" i="2" s="1"/>
  <c r="J90" i="2" s="1"/>
  <c r="H89" i="2"/>
  <c r="I89" i="2" s="1"/>
  <c r="H88" i="2"/>
  <c r="I88" i="2" s="1"/>
  <c r="H87" i="2"/>
  <c r="I87" i="2" s="1"/>
  <c r="H86" i="2"/>
  <c r="I86" i="2" s="1"/>
  <c r="J86" i="2" s="1"/>
  <c r="H85" i="2"/>
  <c r="I85" i="2" s="1"/>
  <c r="H84" i="2"/>
  <c r="I84" i="2" s="1"/>
  <c r="H83" i="2"/>
  <c r="I83" i="2" s="1"/>
  <c r="H82" i="2"/>
  <c r="I82" i="2" s="1"/>
  <c r="J82" i="2" s="1"/>
  <c r="H81" i="2"/>
  <c r="I81" i="2" s="1"/>
  <c r="H80" i="2"/>
  <c r="I80" i="2" s="1"/>
  <c r="H79" i="2"/>
  <c r="I79" i="2" s="1"/>
  <c r="H78" i="2"/>
  <c r="I78" i="2" s="1"/>
  <c r="J78" i="2" s="1"/>
  <c r="H77" i="2"/>
  <c r="I77" i="2" s="1"/>
  <c r="H76" i="2"/>
  <c r="I76" i="2" s="1"/>
  <c r="H75" i="2"/>
  <c r="I75" i="2" s="1"/>
  <c r="H74" i="2"/>
  <c r="I74" i="2" s="1"/>
  <c r="J74" i="2" s="1"/>
  <c r="H73" i="2"/>
  <c r="I73" i="2" s="1"/>
  <c r="H72" i="2"/>
  <c r="I72" i="2" s="1"/>
  <c r="H71" i="2"/>
  <c r="I71" i="2" s="1"/>
  <c r="H70" i="2"/>
  <c r="I70" i="2" s="1"/>
  <c r="J70" i="2" s="1"/>
  <c r="H69" i="2"/>
  <c r="I69" i="2" s="1"/>
  <c r="H68" i="2"/>
  <c r="I68" i="2" s="1"/>
  <c r="H67" i="2"/>
  <c r="I67" i="2" s="1"/>
  <c r="H66" i="2"/>
  <c r="I66" i="2" s="1"/>
  <c r="J66" i="2" s="1"/>
  <c r="H65" i="2"/>
  <c r="I65" i="2" s="1"/>
  <c r="H64" i="2"/>
  <c r="I64" i="2" s="1"/>
  <c r="H63" i="2"/>
  <c r="I63" i="2" s="1"/>
  <c r="H62" i="2"/>
  <c r="I62" i="2" s="1"/>
  <c r="J62" i="2" s="1"/>
  <c r="H61" i="2"/>
  <c r="I61" i="2" s="1"/>
  <c r="H60" i="2"/>
  <c r="I60" i="2" s="1"/>
  <c r="H59" i="2"/>
  <c r="I59" i="2" s="1"/>
  <c r="K59" i="2" s="1"/>
  <c r="L59" i="2" s="1"/>
  <c r="H58" i="2"/>
  <c r="I58" i="2" s="1"/>
  <c r="J58" i="2" s="1"/>
  <c r="H57" i="2"/>
  <c r="I57" i="2" s="1"/>
  <c r="H56" i="2"/>
  <c r="I56" i="2" s="1"/>
  <c r="H55" i="2"/>
  <c r="I55" i="2" s="1"/>
  <c r="H54" i="2"/>
  <c r="I54" i="2" s="1"/>
  <c r="J54" i="2" s="1"/>
  <c r="H53" i="2"/>
  <c r="I53" i="2" s="1"/>
  <c r="H52" i="2"/>
  <c r="I52" i="2" s="1"/>
  <c r="H51" i="2"/>
  <c r="I51" i="2" s="1"/>
  <c r="H50" i="2"/>
  <c r="I50" i="2" s="1"/>
  <c r="J50" i="2" s="1"/>
  <c r="H49" i="2"/>
  <c r="I49" i="2" s="1"/>
  <c r="H48" i="2"/>
  <c r="I48" i="2" s="1"/>
  <c r="H47" i="2"/>
  <c r="I47" i="2" s="1"/>
  <c r="H46" i="2"/>
  <c r="I46" i="2" s="1"/>
  <c r="J46" i="2" s="1"/>
  <c r="H45" i="2"/>
  <c r="I45" i="2" s="1"/>
  <c r="H44" i="2"/>
  <c r="I44" i="2" s="1"/>
  <c r="H43" i="2"/>
  <c r="I43" i="2" s="1"/>
  <c r="H42" i="2"/>
  <c r="I42" i="2" s="1"/>
  <c r="J42" i="2" s="1"/>
  <c r="H41" i="2"/>
  <c r="I41" i="2" s="1"/>
  <c r="H40" i="2"/>
  <c r="I40" i="2" s="1"/>
  <c r="H39" i="2"/>
  <c r="I39" i="2" s="1"/>
  <c r="H38" i="2"/>
  <c r="I38" i="2" s="1"/>
  <c r="J38" i="2" s="1"/>
  <c r="H37" i="2"/>
  <c r="I37" i="2" s="1"/>
  <c r="H36" i="2"/>
  <c r="I36" i="2" s="1"/>
  <c r="H35" i="2"/>
  <c r="I35" i="2" s="1"/>
  <c r="H34" i="2"/>
  <c r="I34" i="2" s="1"/>
  <c r="J34" i="2" s="1"/>
  <c r="H33" i="2"/>
  <c r="I33" i="2" s="1"/>
  <c r="H32" i="2"/>
  <c r="I32" i="2" s="1"/>
  <c r="H31" i="2"/>
  <c r="I31" i="2" s="1"/>
  <c r="H30" i="2"/>
  <c r="I30" i="2" s="1"/>
  <c r="J30" i="2" s="1"/>
  <c r="H29" i="2"/>
  <c r="I29" i="2" s="1"/>
  <c r="H28" i="2"/>
  <c r="I28" i="2" s="1"/>
  <c r="H27" i="2"/>
  <c r="I27" i="2" s="1"/>
  <c r="H26" i="2"/>
  <c r="I26" i="2" s="1"/>
  <c r="J26" i="2" s="1"/>
  <c r="H25" i="2"/>
  <c r="I25" i="2" s="1"/>
  <c r="H24" i="2"/>
  <c r="I24" i="2" s="1"/>
  <c r="H23" i="2"/>
  <c r="I23" i="2" s="1"/>
  <c r="H22" i="2"/>
  <c r="I22" i="2" s="1"/>
  <c r="J22" i="2" s="1"/>
  <c r="H21" i="2"/>
  <c r="I21" i="2" s="1"/>
  <c r="H20" i="2"/>
  <c r="I20" i="2" s="1"/>
  <c r="H19" i="2"/>
  <c r="I19" i="2" s="1"/>
  <c r="H18" i="2"/>
  <c r="I18" i="2" s="1"/>
  <c r="J18" i="2" s="1"/>
  <c r="H17" i="2"/>
  <c r="I17" i="2" s="1"/>
  <c r="H16" i="2"/>
  <c r="I16" i="2" s="1"/>
  <c r="H15" i="2"/>
  <c r="I15" i="2" s="1"/>
  <c r="H14" i="2"/>
  <c r="I14" i="2" s="1"/>
  <c r="J14" i="2" s="1"/>
  <c r="H13" i="2"/>
  <c r="I13" i="2" s="1"/>
  <c r="H12" i="2"/>
  <c r="I12" i="2" s="1"/>
  <c r="H11" i="2"/>
  <c r="I11" i="2" s="1"/>
  <c r="H10" i="2"/>
  <c r="I10" i="2" s="1"/>
  <c r="J10" i="2" s="1"/>
  <c r="H9" i="2"/>
  <c r="I9" i="2" s="1"/>
  <c r="H8" i="2"/>
  <c r="I8" i="2" s="1"/>
  <c r="H7" i="2"/>
  <c r="I7" i="2" s="1"/>
  <c r="H6" i="2"/>
  <c r="I6" i="2" s="1"/>
  <c r="J6" i="2" s="1"/>
  <c r="G3" i="2"/>
  <c r="F3" i="2"/>
  <c r="E3" i="2"/>
  <c r="D3" i="2"/>
  <c r="C3" i="2"/>
  <c r="B3" i="2"/>
  <c r="K27" i="2" l="1"/>
  <c r="L27" i="2" s="1"/>
  <c r="J27" i="2"/>
  <c r="K43" i="2"/>
  <c r="L43" i="2" s="1"/>
  <c r="J43" i="2"/>
  <c r="K67" i="2"/>
  <c r="L67" i="2" s="1"/>
  <c r="J67" i="2"/>
  <c r="K75" i="2"/>
  <c r="L75" i="2" s="1"/>
  <c r="J75" i="2"/>
  <c r="K91" i="2"/>
  <c r="L91" i="2" s="1"/>
  <c r="J91" i="2"/>
  <c r="K11" i="2"/>
  <c r="L11" i="2" s="1"/>
  <c r="J11" i="2"/>
  <c r="K19" i="2"/>
  <c r="L19" i="2" s="1"/>
  <c r="J19" i="2"/>
  <c r="K35" i="2"/>
  <c r="L35" i="2" s="1"/>
  <c r="J35" i="2"/>
  <c r="K51" i="2"/>
  <c r="L51" i="2" s="1"/>
  <c r="J51" i="2"/>
  <c r="K83" i="2"/>
  <c r="L83" i="2" s="1"/>
  <c r="J83" i="2"/>
  <c r="J59" i="2"/>
  <c r="J24" i="2"/>
  <c r="K24" i="2"/>
  <c r="L24" i="2" s="1"/>
  <c r="J48" i="2"/>
  <c r="K48" i="2"/>
  <c r="L48" i="2" s="1"/>
  <c r="K80" i="2"/>
  <c r="L80" i="2" s="1"/>
  <c r="J80" i="2"/>
  <c r="J17" i="2"/>
  <c r="K17" i="2"/>
  <c r="L17" i="2" s="1"/>
  <c r="J33" i="2"/>
  <c r="K33" i="2"/>
  <c r="L33" i="2" s="1"/>
  <c r="J49" i="2"/>
  <c r="K49" i="2"/>
  <c r="L49" i="2" s="1"/>
  <c r="J65" i="2"/>
  <c r="K65" i="2"/>
  <c r="L65" i="2" s="1"/>
  <c r="J81" i="2"/>
  <c r="K81" i="2"/>
  <c r="L81" i="2" s="1"/>
  <c r="K32" i="2"/>
  <c r="L32" i="2" s="1"/>
  <c r="J32" i="2"/>
  <c r="J72" i="2"/>
  <c r="K72" i="2"/>
  <c r="L72" i="2" s="1"/>
  <c r="J9" i="2"/>
  <c r="K9" i="2"/>
  <c r="L9" i="2" s="1"/>
  <c r="J25" i="2"/>
  <c r="K25" i="2"/>
  <c r="L25" i="2" s="1"/>
  <c r="J41" i="2"/>
  <c r="K41" i="2"/>
  <c r="L41" i="2" s="1"/>
  <c r="J57" i="2"/>
  <c r="K57" i="2"/>
  <c r="L57" i="2" s="1"/>
  <c r="J73" i="2"/>
  <c r="K73" i="2"/>
  <c r="L73" i="2" s="1"/>
  <c r="J89" i="2"/>
  <c r="K89" i="2"/>
  <c r="L89" i="2" s="1"/>
  <c r="K40" i="2"/>
  <c r="L40" i="2" s="1"/>
  <c r="J40" i="2"/>
  <c r="K12" i="2"/>
  <c r="L12" i="2" s="1"/>
  <c r="J12" i="2"/>
  <c r="J36" i="2"/>
  <c r="K36" i="2"/>
  <c r="L36" i="2" s="1"/>
  <c r="K60" i="2"/>
  <c r="L60" i="2" s="1"/>
  <c r="J60" i="2"/>
  <c r="J84" i="2"/>
  <c r="K84" i="2"/>
  <c r="L84" i="2" s="1"/>
  <c r="K13" i="2"/>
  <c r="L13" i="2" s="1"/>
  <c r="J13" i="2"/>
  <c r="K29" i="2"/>
  <c r="L29" i="2" s="1"/>
  <c r="J29" i="2"/>
  <c r="J53" i="2"/>
  <c r="K53" i="2"/>
  <c r="L53" i="2" s="1"/>
  <c r="J69" i="2"/>
  <c r="K69" i="2"/>
  <c r="L69" i="2" s="1"/>
  <c r="K77" i="2"/>
  <c r="L77" i="2" s="1"/>
  <c r="J77" i="2"/>
  <c r="K16" i="2"/>
  <c r="L16" i="2" s="1"/>
  <c r="J16" i="2"/>
  <c r="K56" i="2"/>
  <c r="L56" i="2" s="1"/>
  <c r="J56" i="2"/>
  <c r="K20" i="2"/>
  <c r="L20" i="2" s="1"/>
  <c r="J20" i="2"/>
  <c r="K44" i="2"/>
  <c r="L44" i="2" s="1"/>
  <c r="J44" i="2"/>
  <c r="K68" i="2"/>
  <c r="L68" i="2" s="1"/>
  <c r="J68" i="2"/>
  <c r="K92" i="2"/>
  <c r="L92" i="2" s="1"/>
  <c r="J92" i="2"/>
  <c r="J21" i="2"/>
  <c r="K21" i="2"/>
  <c r="L21" i="2" s="1"/>
  <c r="J37" i="2"/>
  <c r="K37" i="2"/>
  <c r="L37" i="2" s="1"/>
  <c r="K45" i="2"/>
  <c r="L45" i="2" s="1"/>
  <c r="J45" i="2"/>
  <c r="K61" i="2"/>
  <c r="L61" i="2" s="1"/>
  <c r="J61" i="2"/>
  <c r="J85" i="2"/>
  <c r="K85" i="2"/>
  <c r="L85" i="2" s="1"/>
  <c r="K8" i="2"/>
  <c r="L8" i="2" s="1"/>
  <c r="J8" i="2"/>
  <c r="K64" i="2"/>
  <c r="L64" i="2" s="1"/>
  <c r="J64" i="2"/>
  <c r="J28" i="2"/>
  <c r="K28" i="2"/>
  <c r="L28" i="2" s="1"/>
  <c r="J52" i="2"/>
  <c r="K52" i="2"/>
  <c r="L52" i="2" s="1"/>
  <c r="K76" i="2"/>
  <c r="L76" i="2" s="1"/>
  <c r="J76" i="2"/>
  <c r="J7" i="2"/>
  <c r="K7" i="2"/>
  <c r="L7" i="2" s="1"/>
  <c r="J15" i="2"/>
  <c r="K15" i="2"/>
  <c r="L15" i="2" s="1"/>
  <c r="J23" i="2"/>
  <c r="K23" i="2"/>
  <c r="L23" i="2" s="1"/>
  <c r="J31" i="2"/>
  <c r="K31" i="2"/>
  <c r="L31" i="2" s="1"/>
  <c r="J39" i="2"/>
  <c r="K39" i="2"/>
  <c r="L39" i="2" s="1"/>
  <c r="J47" i="2"/>
  <c r="K47" i="2"/>
  <c r="L47" i="2" s="1"/>
  <c r="J55" i="2"/>
  <c r="K55" i="2"/>
  <c r="L55" i="2" s="1"/>
  <c r="J63" i="2"/>
  <c r="K63" i="2"/>
  <c r="L63" i="2" s="1"/>
  <c r="J71" i="2"/>
  <c r="K71" i="2"/>
  <c r="L71" i="2" s="1"/>
  <c r="J79" i="2"/>
  <c r="K79" i="2"/>
  <c r="L79" i="2" s="1"/>
  <c r="J87" i="2"/>
  <c r="K87" i="2"/>
  <c r="L87" i="2" s="1"/>
  <c r="K88" i="2"/>
  <c r="L88" i="2" s="1"/>
  <c r="J88" i="2"/>
  <c r="K6" i="2"/>
  <c r="L6" i="2" s="1"/>
  <c r="K14" i="2"/>
  <c r="L14" i="2" s="1"/>
  <c r="K22" i="2"/>
  <c r="L22" i="2" s="1"/>
  <c r="K30" i="2"/>
  <c r="L30" i="2" s="1"/>
  <c r="K38" i="2"/>
  <c r="L38" i="2" s="1"/>
  <c r="K46" i="2"/>
  <c r="L46" i="2" s="1"/>
  <c r="K54" i="2"/>
  <c r="L54" i="2" s="1"/>
  <c r="K62" i="2"/>
  <c r="L62" i="2" s="1"/>
  <c r="K70" i="2"/>
  <c r="L70" i="2" s="1"/>
  <c r="K78" i="2"/>
  <c r="L78" i="2" s="1"/>
  <c r="K86" i="2"/>
  <c r="L86" i="2" s="1"/>
  <c r="K10" i="2"/>
  <c r="L10" i="2" s="1"/>
  <c r="K18" i="2"/>
  <c r="L18" i="2" s="1"/>
  <c r="K26" i="2"/>
  <c r="L26" i="2" s="1"/>
  <c r="K34" i="2"/>
  <c r="L34" i="2" s="1"/>
  <c r="K42" i="2"/>
  <c r="L42" i="2" s="1"/>
  <c r="K50" i="2"/>
  <c r="L50" i="2" s="1"/>
  <c r="K58" i="2"/>
  <c r="L58" i="2" s="1"/>
  <c r="K66" i="2"/>
  <c r="L66" i="2" s="1"/>
  <c r="K74" i="2"/>
  <c r="L74" i="2" s="1"/>
  <c r="K82" i="2"/>
  <c r="L82" i="2" s="1"/>
  <c r="K90" i="2"/>
  <c r="L90" i="2" s="1"/>
  <c r="L2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FCBE36-B283-4922-8BDC-188B5D8ED6A0}" keepAlive="1" name="Query - Chapter6" description="Connection to the 'Chapter6' query in the workbook." type="5" refreshedVersion="6" background="1" saveData="1">
    <dbPr connection="Provider=Microsoft.Mashup.OleDb.1;Data Source=$Workbook$;Location=Chapter6;Extended Properties=&quot;&quot;" command="SELECT * FROM [Chapter6]"/>
  </connection>
</connections>
</file>

<file path=xl/sharedStrings.xml><?xml version="1.0" encoding="utf-8"?>
<sst xmlns="http://schemas.openxmlformats.org/spreadsheetml/2006/main" count="13" uniqueCount="13">
  <si>
    <t>patientID</t>
  </si>
  <si>
    <t>5-year survival</t>
  </si>
  <si>
    <t>gene1</t>
  </si>
  <si>
    <t>gene2</t>
  </si>
  <si>
    <t>gene3</t>
  </si>
  <si>
    <t>gene4</t>
  </si>
  <si>
    <t>gene5</t>
  </si>
  <si>
    <t>logit</t>
  </si>
  <si>
    <t>p(1)</t>
  </si>
  <si>
    <t>outcome</t>
  </si>
  <si>
    <t>likelihood</t>
  </si>
  <si>
    <t>Ln(Likelihood)</t>
  </si>
  <si>
    <t>To-Maximize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</si>
</sst>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134FF-F2E8-4598-99E1-B1FA8EE66866}">
  <dimension ref="A2:L92"/>
  <sheetViews>
    <sheetView tabSelected="1" workbookViewId="0">
      <selection activeCell="B3" sqref="B3"/>
    </sheetView>
  </sheetViews>
  <sheetFormatPr defaultRowHeight="14.4" x14ac:dyDescent="0.3"/>
  <cols>
    <col min="7" max="7" width="14" bestFit="1" customWidth="1"/>
    <col min="11" max="11" width="11.21875" customWidth="1"/>
    <col min="12" max="12" width="12.77734375" customWidth="1"/>
  </cols>
  <sheetData>
    <row r="2" spans="1:12" x14ac:dyDescent="0.3">
      <c r="K2" t="s">
        <v>12</v>
      </c>
      <c r="L2">
        <f>SUM(L6:L91)</f>
        <v>-28.641868460648951</v>
      </c>
    </row>
    <row r="3" spans="1:12" x14ac:dyDescent="0.3">
      <c r="B3">
        <f>INDEX(LINEST($G$6:$G$91,$B$6:$F$91),1,1)</f>
        <v>-7.4422370351089821E-4</v>
      </c>
      <c r="C3">
        <f>INDEX(LINEST($G$6:$G$91,$B$6:$F$91),1,2)</f>
        <v>-5.1900583760525155E-4</v>
      </c>
      <c r="D3">
        <f>INDEX(LINEST($G$6:$G$91,$B$6:$F$91),1,3)</f>
        <v>-5.0031118347627418E-3</v>
      </c>
      <c r="E3">
        <f>INDEX(LINEST($G$6:$G$91,$B$6:$F$91),1,4)</f>
        <v>2.8909149219788614E-3</v>
      </c>
      <c r="F3">
        <f>INDEX(LINEST($G$6:$G$91,$B$6:$F$91),1,5)</f>
        <v>-3.1813043404943834E-4</v>
      </c>
      <c r="G3">
        <f>INDEX(LINEST($G$6:$G$91,$B$6:$F$91),1,6)</f>
        <v>0.5423567318227378</v>
      </c>
    </row>
    <row r="4" spans="1:12" x14ac:dyDescent="0.3">
      <c r="B4">
        <v>-1.9943122595400806E-2</v>
      </c>
      <c r="C4">
        <v>-7.8787647512606161E-3</v>
      </c>
      <c r="D4">
        <v>-9.5919728842558102E-2</v>
      </c>
      <c r="E4">
        <v>-1.0749740017834446E-2</v>
      </c>
      <c r="F4">
        <v>-3.8038695451631248E-3</v>
      </c>
      <c r="G4">
        <v>4.1795992608587058</v>
      </c>
    </row>
    <row r="5" spans="1:12" x14ac:dyDescent="0.3">
      <c r="A5" s="1" t="s">
        <v>0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1</v>
      </c>
      <c r="H5" s="1" t="s">
        <v>7</v>
      </c>
      <c r="I5" s="1" t="s">
        <v>8</v>
      </c>
      <c r="J5" s="1" t="s">
        <v>9</v>
      </c>
      <c r="K5" t="s">
        <v>10</v>
      </c>
      <c r="L5" t="s">
        <v>11</v>
      </c>
    </row>
    <row r="6" spans="1:12" x14ac:dyDescent="0.3">
      <c r="A6">
        <v>1</v>
      </c>
      <c r="B6">
        <v>92.082599999999999</v>
      </c>
      <c r="C6">
        <v>443.37349999999998</v>
      </c>
      <c r="D6">
        <v>350.94664</v>
      </c>
      <c r="E6">
        <v>11.1876</v>
      </c>
      <c r="F6">
        <v>77.926000000000002</v>
      </c>
      <c r="G6">
        <v>0</v>
      </c>
      <c r="H6">
        <f>SUMPRODUCT($B$4:$F$4,B6:F6)+$G$4</f>
        <v>-35.229441499894357</v>
      </c>
      <c r="I6">
        <f>1/(1+EXP(0-H6))</f>
        <v>5.0124257923799613E-16</v>
      </c>
      <c r="J6">
        <f>IF(I6&gt;0.5,1,0)</f>
        <v>0</v>
      </c>
      <c r="K6">
        <f>IF(G6=1,I6,1-I6)</f>
        <v>0.99999999999999944</v>
      </c>
      <c r="L6">
        <f>IF(K6=0,-1000000,LN(K6))</f>
        <v>-5.5511151231257847E-16</v>
      </c>
    </row>
    <row r="7" spans="1:12" x14ac:dyDescent="0.3">
      <c r="A7">
        <v>2</v>
      </c>
      <c r="B7">
        <v>97.122799999999998</v>
      </c>
      <c r="C7">
        <v>29.215617999999999</v>
      </c>
      <c r="D7">
        <v>2.5790069999999998</v>
      </c>
      <c r="E7">
        <v>301.86840000000001</v>
      </c>
      <c r="F7">
        <v>171.99680000000001</v>
      </c>
      <c r="G7">
        <v>0</v>
      </c>
      <c r="H7">
        <f t="shared" ref="H7:H70" si="0">SUMPRODUCT($B$4:$F$4,B7:F7)+$G$4</f>
        <v>-2.1341534887428102</v>
      </c>
      <c r="I7">
        <f t="shared" ref="I7:I70" si="1">1/(1+EXP(0-H7))</f>
        <v>0.10582133143249982</v>
      </c>
      <c r="J7">
        <f t="shared" ref="J7:J70" si="2">IF(I7&gt;0.5,1,0)</f>
        <v>0</v>
      </c>
      <c r="K7">
        <f t="shared" ref="K7:K70" si="3">IF(G7=1,I7,1-I7)</f>
        <v>0.89417866856750017</v>
      </c>
      <c r="L7">
        <f t="shared" ref="L7:L70" si="4">IF(K7=0,-1000000,LN(K7))</f>
        <v>-0.11184967079278914</v>
      </c>
    </row>
    <row r="8" spans="1:12" x14ac:dyDescent="0.3">
      <c r="A8">
        <v>3</v>
      </c>
      <c r="B8">
        <v>7.7399500000000003</v>
      </c>
      <c r="C8">
        <v>42.368420999999998</v>
      </c>
      <c r="D8">
        <v>39.907121000000004</v>
      </c>
      <c r="E8">
        <v>9.2879000000000005</v>
      </c>
      <c r="F8">
        <v>104.2632</v>
      </c>
      <c r="G8">
        <v>1</v>
      </c>
      <c r="H8">
        <f t="shared" si="0"/>
        <v>-0.63289667949498973</v>
      </c>
      <c r="I8">
        <f t="shared" si="1"/>
        <v>0.34685401498010887</v>
      </c>
      <c r="J8">
        <f t="shared" si="2"/>
        <v>0</v>
      </c>
      <c r="K8">
        <f t="shared" si="3"/>
        <v>0.34685401498010887</v>
      </c>
      <c r="L8">
        <f t="shared" si="4"/>
        <v>-1.0588512936661179</v>
      </c>
    </row>
    <row r="9" spans="1:12" x14ac:dyDescent="0.3">
      <c r="A9">
        <v>4</v>
      </c>
      <c r="B9">
        <v>60.212499999999999</v>
      </c>
      <c r="C9">
        <v>25.631640999999998</v>
      </c>
      <c r="D9">
        <v>2.4203069999999998</v>
      </c>
      <c r="E9">
        <v>14.1677</v>
      </c>
      <c r="F9">
        <v>94.631600000000006</v>
      </c>
      <c r="G9">
        <v>1</v>
      </c>
      <c r="H9">
        <f t="shared" si="0"/>
        <v>2.0324077778988912</v>
      </c>
      <c r="I9">
        <f t="shared" si="1"/>
        <v>0.88415791723041826</v>
      </c>
      <c r="J9">
        <f t="shared" si="2"/>
        <v>1</v>
      </c>
      <c r="K9">
        <f t="shared" si="3"/>
        <v>0.88415791723041826</v>
      </c>
      <c r="L9">
        <f t="shared" si="4"/>
        <v>-0.12311959289768577</v>
      </c>
    </row>
    <row r="10" spans="1:12" x14ac:dyDescent="0.3">
      <c r="A10">
        <v>5</v>
      </c>
      <c r="B10">
        <v>385.47660000000002</v>
      </c>
      <c r="C10">
        <v>20.329639</v>
      </c>
      <c r="D10">
        <v>5.8317510000000006</v>
      </c>
      <c r="E10">
        <v>35.4298</v>
      </c>
      <c r="F10">
        <v>71.058799999999991</v>
      </c>
      <c r="G10">
        <v>0</v>
      </c>
      <c r="H10">
        <f t="shared" si="0"/>
        <v>-4.8787197924756525</v>
      </c>
      <c r="I10">
        <f t="shared" si="1"/>
        <v>7.5493202485669257E-3</v>
      </c>
      <c r="J10">
        <f t="shared" si="2"/>
        <v>0</v>
      </c>
      <c r="K10">
        <f t="shared" si="3"/>
        <v>0.99245067975143308</v>
      </c>
      <c r="L10">
        <f t="shared" si="4"/>
        <v>-7.5779606011862639E-3</v>
      </c>
    </row>
    <row r="11" spans="1:12" x14ac:dyDescent="0.3">
      <c r="A11">
        <v>6</v>
      </c>
      <c r="B11">
        <v>476.64400000000001</v>
      </c>
      <c r="C11">
        <v>12.487453</v>
      </c>
      <c r="D11">
        <v>4.4061250000000003</v>
      </c>
      <c r="E11">
        <v>50.444000000000003</v>
      </c>
      <c r="F11">
        <v>104.7838</v>
      </c>
      <c r="G11">
        <v>0</v>
      </c>
      <c r="H11">
        <f t="shared" si="0"/>
        <v>-6.7880342763854591</v>
      </c>
      <c r="I11">
        <f t="shared" si="1"/>
        <v>1.1259132172833836E-3</v>
      </c>
      <c r="J11">
        <f t="shared" si="2"/>
        <v>0</v>
      </c>
      <c r="K11">
        <f t="shared" si="3"/>
        <v>0.99887408678271661</v>
      </c>
      <c r="L11">
        <f t="shared" si="4"/>
        <v>-1.1265475337380385E-3</v>
      </c>
    </row>
    <row r="12" spans="1:12" x14ac:dyDescent="0.3">
      <c r="A12">
        <v>7</v>
      </c>
      <c r="B12">
        <v>25.89</v>
      </c>
      <c r="C12">
        <v>18.495145999999998</v>
      </c>
      <c r="D12">
        <v>28.721682999999999</v>
      </c>
      <c r="E12">
        <v>6.4724000000000004</v>
      </c>
      <c r="F12">
        <v>78.398099999999999</v>
      </c>
      <c r="G12">
        <v>0</v>
      </c>
      <c r="H12">
        <f t="shared" si="0"/>
        <v>0.39478410494756444</v>
      </c>
      <c r="I12">
        <f t="shared" si="1"/>
        <v>0.59743384272443301</v>
      </c>
      <c r="J12">
        <f t="shared" si="2"/>
        <v>1</v>
      </c>
      <c r="K12">
        <f t="shared" si="3"/>
        <v>0.40256615727556699</v>
      </c>
      <c r="L12">
        <f t="shared" si="4"/>
        <v>-0.90989582972808403</v>
      </c>
    </row>
    <row r="13" spans="1:12" x14ac:dyDescent="0.3">
      <c r="A13">
        <v>8</v>
      </c>
      <c r="B13">
        <v>142.85714999999999</v>
      </c>
      <c r="C13">
        <v>15.411994</v>
      </c>
      <c r="D13">
        <v>1.019015</v>
      </c>
      <c r="E13">
        <v>24.378399999999999</v>
      </c>
      <c r="F13">
        <v>146.7328</v>
      </c>
      <c r="G13">
        <v>1</v>
      </c>
      <c r="H13">
        <f t="shared" si="0"/>
        <v>0.29119659597151726</v>
      </c>
      <c r="I13">
        <f t="shared" si="1"/>
        <v>0.57228905416699893</v>
      </c>
      <c r="J13">
        <f t="shared" si="2"/>
        <v>1</v>
      </c>
      <c r="K13">
        <f t="shared" si="3"/>
        <v>0.57228905416699893</v>
      </c>
      <c r="L13">
        <f t="shared" si="4"/>
        <v>-0.55811107579052555</v>
      </c>
    </row>
    <row r="14" spans="1:12" x14ac:dyDescent="0.3">
      <c r="A14">
        <v>9</v>
      </c>
      <c r="B14">
        <v>188.6454</v>
      </c>
      <c r="C14">
        <v>26.958862</v>
      </c>
      <c r="D14">
        <v>12.508009999999999</v>
      </c>
      <c r="E14">
        <v>82.019800000000004</v>
      </c>
      <c r="F14">
        <v>137.77710000000002</v>
      </c>
      <c r="G14">
        <v>0</v>
      </c>
      <c r="H14">
        <f t="shared" si="0"/>
        <v>-2.4005241786450942</v>
      </c>
      <c r="I14">
        <f t="shared" si="1"/>
        <v>8.3132733984240245E-2</v>
      </c>
      <c r="J14">
        <f t="shared" si="2"/>
        <v>0</v>
      </c>
      <c r="K14">
        <f t="shared" si="3"/>
        <v>0.91686726601575974</v>
      </c>
      <c r="L14">
        <f t="shared" si="4"/>
        <v>-8.6792565277102621E-2</v>
      </c>
    </row>
    <row r="15" spans="1:12" x14ac:dyDescent="0.3">
      <c r="A15">
        <v>10</v>
      </c>
      <c r="B15">
        <v>1383.3642</v>
      </c>
      <c r="C15">
        <v>14.225508</v>
      </c>
      <c r="D15">
        <v>1.49353</v>
      </c>
      <c r="E15">
        <v>312.01479999999998</v>
      </c>
      <c r="F15">
        <v>787.2921</v>
      </c>
      <c r="G15">
        <v>0</v>
      </c>
      <c r="H15">
        <f t="shared" si="0"/>
        <v>-30.013175421501391</v>
      </c>
      <c r="I15">
        <f t="shared" si="1"/>
        <v>9.2351409896413341E-14</v>
      </c>
      <c r="J15">
        <f t="shared" si="2"/>
        <v>0</v>
      </c>
      <c r="K15">
        <f t="shared" si="3"/>
        <v>0.99999999999990763</v>
      </c>
      <c r="L15">
        <f t="shared" si="4"/>
        <v>-9.237055564881729E-14</v>
      </c>
    </row>
    <row r="16" spans="1:12" x14ac:dyDescent="0.3">
      <c r="A16">
        <v>11</v>
      </c>
      <c r="B16">
        <v>365.39699999999999</v>
      </c>
      <c r="C16">
        <v>3.2798439999999998</v>
      </c>
      <c r="D16">
        <v>0.35542000000000001</v>
      </c>
      <c r="E16">
        <v>74.825400000000002</v>
      </c>
      <c r="F16">
        <v>132.8732</v>
      </c>
      <c r="G16">
        <v>0</v>
      </c>
      <c r="H16">
        <f t="shared" si="0"/>
        <v>-4.4772767310338564</v>
      </c>
      <c r="I16">
        <f t="shared" si="1"/>
        <v>1.1236622585327259E-2</v>
      </c>
      <c r="J16">
        <f t="shared" si="2"/>
        <v>0</v>
      </c>
      <c r="K16">
        <f t="shared" si="3"/>
        <v>0.98876337741467279</v>
      </c>
      <c r="L16">
        <f t="shared" si="4"/>
        <v>-1.130023036886718E-2</v>
      </c>
    </row>
    <row r="17" spans="1:12" x14ac:dyDescent="0.3">
      <c r="A17">
        <v>12</v>
      </c>
      <c r="B17">
        <v>26.89425</v>
      </c>
      <c r="C17">
        <v>40.682699999999997</v>
      </c>
      <c r="D17">
        <v>18.960433999999999</v>
      </c>
      <c r="E17">
        <v>20.687899999999999</v>
      </c>
      <c r="F17">
        <v>204.8443</v>
      </c>
      <c r="G17">
        <v>1</v>
      </c>
      <c r="H17">
        <f t="shared" si="0"/>
        <v>0.50244428444880285</v>
      </c>
      <c r="I17">
        <f t="shared" si="1"/>
        <v>0.6230335749493352</v>
      </c>
      <c r="J17">
        <f t="shared" si="2"/>
        <v>1</v>
      </c>
      <c r="K17">
        <f t="shared" si="3"/>
        <v>0.6230335749493352</v>
      </c>
      <c r="L17">
        <f t="shared" si="4"/>
        <v>-0.47315486927229095</v>
      </c>
    </row>
    <row r="18" spans="1:12" x14ac:dyDescent="0.3">
      <c r="A18">
        <v>13</v>
      </c>
      <c r="B18">
        <v>10.106999999999999</v>
      </c>
      <c r="C18">
        <v>12.223542999999999</v>
      </c>
      <c r="D18">
        <v>22.972651999999997</v>
      </c>
      <c r="E18">
        <v>9.5124999999999993</v>
      </c>
      <c r="F18">
        <v>42.995199999999997</v>
      </c>
      <c r="G18">
        <v>1</v>
      </c>
      <c r="H18">
        <f t="shared" si="0"/>
        <v>1.4123921166407736</v>
      </c>
      <c r="I18">
        <f t="shared" si="1"/>
        <v>0.80414296908218985</v>
      </c>
      <c r="J18">
        <f t="shared" si="2"/>
        <v>1</v>
      </c>
      <c r="K18">
        <f t="shared" si="3"/>
        <v>0.80414296908218985</v>
      </c>
      <c r="L18">
        <f t="shared" si="4"/>
        <v>-0.21797820337014176</v>
      </c>
    </row>
    <row r="19" spans="1:12" x14ac:dyDescent="0.3">
      <c r="A19">
        <v>14</v>
      </c>
      <c r="B19">
        <v>196.50980000000001</v>
      </c>
      <c r="C19">
        <v>18.721547999999999</v>
      </c>
      <c r="D19">
        <v>5.2238239999999996</v>
      </c>
      <c r="E19">
        <v>80.424800000000005</v>
      </c>
      <c r="F19">
        <v>292.07130000000001</v>
      </c>
      <c r="G19">
        <v>0</v>
      </c>
      <c r="H19">
        <f t="shared" si="0"/>
        <v>-2.3635370398842035</v>
      </c>
      <c r="I19">
        <f t="shared" si="1"/>
        <v>8.5995773974879688E-2</v>
      </c>
      <c r="J19">
        <f t="shared" si="2"/>
        <v>0</v>
      </c>
      <c r="K19">
        <f t="shared" si="3"/>
        <v>0.91400422602512033</v>
      </c>
      <c r="L19">
        <f t="shared" si="4"/>
        <v>-8.9920083878807067E-2</v>
      </c>
    </row>
    <row r="20" spans="1:12" x14ac:dyDescent="0.3">
      <c r="A20">
        <v>15</v>
      </c>
      <c r="B20">
        <v>1955.5984000000001</v>
      </c>
      <c r="C20">
        <v>10.482625000000001</v>
      </c>
      <c r="D20">
        <v>2.3069500000000001</v>
      </c>
      <c r="E20">
        <v>44.401600000000002</v>
      </c>
      <c r="F20">
        <v>83.880300000000005</v>
      </c>
      <c r="G20">
        <v>0</v>
      </c>
      <c r="H20">
        <f t="shared" si="0"/>
        <v>-35.921386907500001</v>
      </c>
      <c r="I20">
        <f t="shared" si="1"/>
        <v>2.5092266056008602E-16</v>
      </c>
      <c r="J20">
        <f t="shared" si="2"/>
        <v>0</v>
      </c>
      <c r="K20">
        <f t="shared" si="3"/>
        <v>0.99999999999999978</v>
      </c>
      <c r="L20">
        <f t="shared" si="4"/>
        <v>-2.2204460492503131E-16</v>
      </c>
    </row>
    <row r="21" spans="1:12" x14ac:dyDescent="0.3">
      <c r="A21">
        <v>16</v>
      </c>
      <c r="B21">
        <v>740.09900000000005</v>
      </c>
      <c r="C21">
        <v>10.532177999999998</v>
      </c>
      <c r="D21">
        <v>6.4108910000000003</v>
      </c>
      <c r="E21">
        <v>168.3168</v>
      </c>
      <c r="F21">
        <v>143.81189999999998</v>
      </c>
      <c r="G21">
        <v>0</v>
      </c>
      <c r="H21">
        <f t="shared" si="0"/>
        <v>-13.634600855290316</v>
      </c>
      <c r="I21">
        <f t="shared" si="1"/>
        <v>1.1983055345547032E-6</v>
      </c>
      <c r="J21">
        <f t="shared" si="2"/>
        <v>0</v>
      </c>
      <c r="K21">
        <f t="shared" si="3"/>
        <v>0.99999880169446542</v>
      </c>
      <c r="L21">
        <f t="shared" si="4"/>
        <v>-1.1983062525463213E-6</v>
      </c>
    </row>
    <row r="22" spans="1:12" x14ac:dyDescent="0.3">
      <c r="A22">
        <v>17</v>
      </c>
      <c r="B22">
        <v>327.31139999999999</v>
      </c>
      <c r="C22">
        <v>13.294367999999999</v>
      </c>
      <c r="D22">
        <v>12.592986000000002</v>
      </c>
      <c r="E22">
        <v>95.643000000000001</v>
      </c>
      <c r="F22">
        <v>327.86930000000001</v>
      </c>
      <c r="G22">
        <v>0</v>
      </c>
      <c r="H22">
        <f t="shared" si="0"/>
        <v>-5.9359805462300743</v>
      </c>
      <c r="I22">
        <f t="shared" si="1"/>
        <v>2.6356651740277095E-3</v>
      </c>
      <c r="J22">
        <f t="shared" si="2"/>
        <v>0</v>
      </c>
      <c r="K22">
        <f t="shared" si="3"/>
        <v>0.99736433482597231</v>
      </c>
      <c r="L22">
        <f t="shared" si="4"/>
        <v>-2.6391446546578205E-3</v>
      </c>
    </row>
    <row r="23" spans="1:12" x14ac:dyDescent="0.3">
      <c r="A23">
        <v>18</v>
      </c>
      <c r="B23">
        <v>490.31259999999997</v>
      </c>
      <c r="C23">
        <v>14.897055</v>
      </c>
      <c r="D23">
        <v>8.7857430000000001</v>
      </c>
      <c r="E23">
        <v>44.573799999999999</v>
      </c>
      <c r="F23">
        <v>264.29129999999998</v>
      </c>
      <c r="G23">
        <v>0</v>
      </c>
      <c r="H23">
        <f t="shared" si="0"/>
        <v>-8.0433478978115218</v>
      </c>
      <c r="I23">
        <f t="shared" si="1"/>
        <v>3.2112854029727183E-4</v>
      </c>
      <c r="J23">
        <f t="shared" si="2"/>
        <v>0</v>
      </c>
      <c r="K23">
        <f t="shared" si="3"/>
        <v>0.99967887145970269</v>
      </c>
      <c r="L23">
        <f t="shared" si="4"/>
        <v>-3.2118011310830404E-4</v>
      </c>
    </row>
    <row r="24" spans="1:12" x14ac:dyDescent="0.3">
      <c r="A24">
        <v>19</v>
      </c>
      <c r="B24">
        <v>67.775549999999996</v>
      </c>
      <c r="C24">
        <v>23.059925</v>
      </c>
      <c r="D24">
        <v>1.0064870000000001</v>
      </c>
      <c r="E24">
        <v>61.687899999999999</v>
      </c>
      <c r="F24">
        <v>101.27209999999999</v>
      </c>
      <c r="G24">
        <v>1</v>
      </c>
      <c r="H24">
        <f t="shared" si="0"/>
        <v>1.5013627296468313</v>
      </c>
      <c r="I24">
        <f t="shared" si="1"/>
        <v>0.81777763453370056</v>
      </c>
      <c r="J24">
        <f t="shared" si="2"/>
        <v>1</v>
      </c>
      <c r="K24">
        <f t="shared" si="3"/>
        <v>0.81777763453370056</v>
      </c>
      <c r="L24">
        <f t="shared" si="4"/>
        <v>-0.20116481975804429</v>
      </c>
    </row>
    <row r="25" spans="1:12" x14ac:dyDescent="0.3">
      <c r="A25">
        <v>20</v>
      </c>
      <c r="B25">
        <v>331.79719999999998</v>
      </c>
      <c r="C25">
        <v>13.179724</v>
      </c>
      <c r="D25">
        <v>6.9585249999999998</v>
      </c>
      <c r="E25">
        <v>36.866399999999999</v>
      </c>
      <c r="F25">
        <v>195.5069</v>
      </c>
      <c r="G25">
        <v>0</v>
      </c>
      <c r="H25">
        <f t="shared" si="0"/>
        <v>-4.3487597097514632</v>
      </c>
      <c r="I25">
        <f t="shared" si="1"/>
        <v>1.2757961726233183E-2</v>
      </c>
      <c r="J25">
        <f t="shared" si="2"/>
        <v>0</v>
      </c>
      <c r="K25">
        <f t="shared" si="3"/>
        <v>0.98724203827376678</v>
      </c>
      <c r="L25">
        <f t="shared" si="4"/>
        <v>-1.284004339713289E-2</v>
      </c>
    </row>
    <row r="26" spans="1:12" x14ac:dyDescent="0.3">
      <c r="A26">
        <v>21</v>
      </c>
      <c r="B26">
        <v>134.7414</v>
      </c>
      <c r="C26">
        <v>14.555197</v>
      </c>
      <c r="D26">
        <v>10.089931999999999</v>
      </c>
      <c r="E26">
        <v>219.34639999999999</v>
      </c>
      <c r="F26">
        <v>148.774</v>
      </c>
      <c r="G26">
        <v>0</v>
      </c>
      <c r="H26">
        <f t="shared" si="0"/>
        <v>-2.5138991741283574</v>
      </c>
      <c r="I26">
        <f t="shared" si="1"/>
        <v>7.4889522303560857E-2</v>
      </c>
      <c r="J26">
        <f t="shared" si="2"/>
        <v>0</v>
      </c>
      <c r="K26">
        <f t="shared" si="3"/>
        <v>0.92511047769643917</v>
      </c>
      <c r="L26">
        <f t="shared" si="4"/>
        <v>-7.7842113254043319E-2</v>
      </c>
    </row>
    <row r="27" spans="1:12" x14ac:dyDescent="0.3">
      <c r="A27">
        <v>22</v>
      </c>
      <c r="B27">
        <v>320.17540000000002</v>
      </c>
      <c r="C27">
        <v>1.677632</v>
      </c>
      <c r="D27">
        <v>3.936404</v>
      </c>
      <c r="E27">
        <v>92.105199999999996</v>
      </c>
      <c r="F27">
        <v>133.55259999999998</v>
      </c>
      <c r="G27">
        <v>0</v>
      </c>
      <c r="H27">
        <f t="shared" si="0"/>
        <v>-4.0946180876427318</v>
      </c>
      <c r="I27">
        <f t="shared" si="1"/>
        <v>1.6389032691607717E-2</v>
      </c>
      <c r="J27">
        <f t="shared" si="2"/>
        <v>0</v>
      </c>
      <c r="K27">
        <f t="shared" si="3"/>
        <v>0.98361096730839226</v>
      </c>
      <c r="L27">
        <f t="shared" si="4"/>
        <v>-1.6524818531062309E-2</v>
      </c>
    </row>
    <row r="28" spans="1:12" x14ac:dyDescent="0.3">
      <c r="A28">
        <v>23</v>
      </c>
      <c r="B28">
        <v>86.603800000000007</v>
      </c>
      <c r="C28">
        <v>19.735692</v>
      </c>
      <c r="D28">
        <v>12.357707</v>
      </c>
      <c r="E28">
        <v>16.654599999999999</v>
      </c>
      <c r="F28">
        <v>94.949299999999994</v>
      </c>
      <c r="G28">
        <v>0</v>
      </c>
      <c r="H28">
        <f t="shared" si="0"/>
        <v>0.57140091049843278</v>
      </c>
      <c r="I28">
        <f t="shared" si="1"/>
        <v>0.63908636505602512</v>
      </c>
      <c r="J28">
        <f t="shared" si="2"/>
        <v>1</v>
      </c>
      <c r="K28">
        <f t="shared" si="3"/>
        <v>0.36091363494397488</v>
      </c>
      <c r="L28">
        <f t="shared" si="4"/>
        <v>-1.0191165876536641</v>
      </c>
    </row>
    <row r="29" spans="1:12" x14ac:dyDescent="0.3">
      <c r="A29">
        <v>24</v>
      </c>
      <c r="B29">
        <v>223.03639999999999</v>
      </c>
      <c r="C29">
        <v>6.8653369999999994</v>
      </c>
      <c r="D29">
        <v>11.744256999999999</v>
      </c>
      <c r="E29">
        <v>20.909600000000001</v>
      </c>
      <c r="F29">
        <v>485.88369999999998</v>
      </c>
      <c r="G29">
        <v>0</v>
      </c>
      <c r="H29">
        <f t="shared" si="0"/>
        <v>-3.5220503024346739</v>
      </c>
      <c r="I29">
        <f t="shared" si="1"/>
        <v>2.8691302621810688E-2</v>
      </c>
      <c r="J29">
        <f t="shared" si="2"/>
        <v>0</v>
      </c>
      <c r="K29">
        <f t="shared" si="3"/>
        <v>0.97130869737818926</v>
      </c>
      <c r="L29">
        <f t="shared" si="4"/>
        <v>-2.9110944245375164E-2</v>
      </c>
    </row>
    <row r="30" spans="1:12" x14ac:dyDescent="0.3">
      <c r="A30">
        <v>25</v>
      </c>
      <c r="B30">
        <v>380.80500000000001</v>
      </c>
      <c r="C30">
        <v>14.504644000000001</v>
      </c>
      <c r="D30">
        <v>8.8080499999999997</v>
      </c>
      <c r="E30">
        <v>49.535600000000002</v>
      </c>
      <c r="F30">
        <v>209.2105</v>
      </c>
      <c r="G30">
        <v>0</v>
      </c>
      <c r="H30">
        <f t="shared" si="0"/>
        <v>-5.7022902556971653</v>
      </c>
      <c r="I30">
        <f t="shared" si="1"/>
        <v>3.3272038679363391E-3</v>
      </c>
      <c r="J30">
        <f t="shared" si="2"/>
        <v>0</v>
      </c>
      <c r="K30">
        <f t="shared" si="3"/>
        <v>0.99667279613206361</v>
      </c>
      <c r="L30">
        <f t="shared" si="4"/>
        <v>-3.3327513191443777E-3</v>
      </c>
    </row>
    <row r="31" spans="1:12" x14ac:dyDescent="0.3">
      <c r="A31">
        <v>26</v>
      </c>
      <c r="B31">
        <v>192.72819999999999</v>
      </c>
      <c r="C31">
        <v>10.003011000000001</v>
      </c>
      <c r="D31">
        <v>15.344934</v>
      </c>
      <c r="E31">
        <v>23.043600000000001</v>
      </c>
      <c r="F31">
        <v>144.40770000000001</v>
      </c>
      <c r="G31">
        <v>0</v>
      </c>
      <c r="H31">
        <f t="shared" si="0"/>
        <v>-2.0117168993844654</v>
      </c>
      <c r="I31">
        <f t="shared" si="1"/>
        <v>0.11797820116908725</v>
      </c>
      <c r="J31">
        <f t="shared" si="2"/>
        <v>0</v>
      </c>
      <c r="K31">
        <f t="shared" si="3"/>
        <v>0.8820217988309127</v>
      </c>
      <c r="L31">
        <f t="shared" si="4"/>
        <v>-0.12553850805296979</v>
      </c>
    </row>
    <row r="32" spans="1:12" x14ac:dyDescent="0.3">
      <c r="A32">
        <v>27</v>
      </c>
      <c r="B32">
        <v>585.82399999999996</v>
      </c>
      <c r="C32">
        <v>23.825790000000001</v>
      </c>
      <c r="D32">
        <v>5.473954</v>
      </c>
      <c r="E32">
        <v>751.49440000000004</v>
      </c>
      <c r="F32">
        <v>188.9624</v>
      </c>
      <c r="G32">
        <v>0</v>
      </c>
      <c r="H32">
        <f t="shared" si="0"/>
        <v>-17.013496311668369</v>
      </c>
      <c r="I32">
        <f t="shared" si="1"/>
        <v>4.0844390173990854E-8</v>
      </c>
      <c r="J32">
        <f t="shared" si="2"/>
        <v>0</v>
      </c>
      <c r="K32">
        <f t="shared" si="3"/>
        <v>0.9999999591556098</v>
      </c>
      <c r="L32">
        <f t="shared" si="4"/>
        <v>-4.0844391037486079E-8</v>
      </c>
    </row>
    <row r="33" spans="1:12" x14ac:dyDescent="0.3">
      <c r="A33">
        <v>28</v>
      </c>
      <c r="B33">
        <v>22.633749999999999</v>
      </c>
      <c r="C33">
        <v>16.985596999999999</v>
      </c>
      <c r="D33">
        <v>21.934155999999998</v>
      </c>
      <c r="E33">
        <v>34.979399999999998</v>
      </c>
      <c r="F33">
        <v>154.34979999999999</v>
      </c>
      <c r="G33">
        <v>1</v>
      </c>
      <c r="H33">
        <f t="shared" si="0"/>
        <v>0.52732183148010847</v>
      </c>
      <c r="I33">
        <f t="shared" si="1"/>
        <v>0.62885825536671391</v>
      </c>
      <c r="J33">
        <f t="shared" si="2"/>
        <v>1</v>
      </c>
      <c r="K33">
        <f t="shared" si="3"/>
        <v>0.62885825536671391</v>
      </c>
      <c r="L33">
        <f t="shared" si="4"/>
        <v>-0.46384939685515314</v>
      </c>
    </row>
    <row r="34" spans="1:12" x14ac:dyDescent="0.3">
      <c r="A34">
        <v>29</v>
      </c>
      <c r="B34">
        <v>281.97320000000002</v>
      </c>
      <c r="C34">
        <v>7.5761270000000005</v>
      </c>
      <c r="D34">
        <v>4.4457979999999999</v>
      </c>
      <c r="E34">
        <v>9.7441999999999993</v>
      </c>
      <c r="F34">
        <v>62.337400000000002</v>
      </c>
      <c r="G34">
        <v>1</v>
      </c>
      <c r="H34">
        <f t="shared" si="0"/>
        <v>-2.27182805043266</v>
      </c>
      <c r="I34">
        <f t="shared" si="1"/>
        <v>9.3483180627758705E-2</v>
      </c>
      <c r="J34">
        <f t="shared" si="2"/>
        <v>0</v>
      </c>
      <c r="K34">
        <f t="shared" si="3"/>
        <v>9.3483180627758705E-2</v>
      </c>
      <c r="L34">
        <f t="shared" si="4"/>
        <v>-2.3699737452031142</v>
      </c>
    </row>
    <row r="35" spans="1:12" x14ac:dyDescent="0.3">
      <c r="A35">
        <v>30</v>
      </c>
      <c r="B35">
        <v>320.488</v>
      </c>
      <c r="C35">
        <v>11.435773999999999</v>
      </c>
      <c r="D35">
        <v>3.7536059999999996</v>
      </c>
      <c r="E35">
        <v>23.857600000000001</v>
      </c>
      <c r="F35">
        <v>63.967500000000001</v>
      </c>
      <c r="G35">
        <v>0</v>
      </c>
      <c r="H35">
        <f t="shared" si="0"/>
        <v>-3.1618638788721984</v>
      </c>
      <c r="I35">
        <f t="shared" si="1"/>
        <v>4.0626345083947024E-2</v>
      </c>
      <c r="J35">
        <f t="shared" si="2"/>
        <v>0</v>
      </c>
      <c r="K35">
        <f t="shared" si="3"/>
        <v>0.95937365491605298</v>
      </c>
      <c r="L35">
        <f t="shared" si="4"/>
        <v>-4.1474650249457116E-2</v>
      </c>
    </row>
    <row r="36" spans="1:12" x14ac:dyDescent="0.3">
      <c r="A36">
        <v>31</v>
      </c>
      <c r="B36">
        <v>775.38440000000003</v>
      </c>
      <c r="C36">
        <v>4.2702330000000002</v>
      </c>
      <c r="D36">
        <v>3.2026749999999997</v>
      </c>
      <c r="E36">
        <v>0</v>
      </c>
      <c r="F36">
        <v>137.37450000000001</v>
      </c>
      <c r="G36">
        <v>0</v>
      </c>
      <c r="H36">
        <f t="shared" si="0"/>
        <v>-12.147385442545513</v>
      </c>
      <c r="I36">
        <f t="shared" si="1"/>
        <v>5.3021893131377779E-6</v>
      </c>
      <c r="J36">
        <f t="shared" si="2"/>
        <v>0</v>
      </c>
      <c r="K36">
        <f t="shared" si="3"/>
        <v>0.99999469781068684</v>
      </c>
      <c r="L36">
        <f t="shared" si="4"/>
        <v>-5.3022033698165089E-6</v>
      </c>
    </row>
    <row r="37" spans="1:12" x14ac:dyDescent="0.3">
      <c r="A37">
        <v>32</v>
      </c>
      <c r="B37">
        <v>220.5718</v>
      </c>
      <c r="C37">
        <v>14.028964</v>
      </c>
      <c r="D37">
        <v>19.257334</v>
      </c>
      <c r="E37">
        <v>151.50380000000001</v>
      </c>
      <c r="F37">
        <v>111.1493</v>
      </c>
      <c r="G37">
        <v>0</v>
      </c>
      <c r="H37">
        <f t="shared" si="0"/>
        <v>-4.228404249150187</v>
      </c>
      <c r="I37">
        <f t="shared" si="1"/>
        <v>1.4366234147231677E-2</v>
      </c>
      <c r="J37">
        <f t="shared" si="2"/>
        <v>0</v>
      </c>
      <c r="K37">
        <f t="shared" si="3"/>
        <v>0.9856337658527683</v>
      </c>
      <c r="L37">
        <f t="shared" si="4"/>
        <v>-1.4470427604681431E-2</v>
      </c>
    </row>
    <row r="38" spans="1:12" x14ac:dyDescent="0.3">
      <c r="A38">
        <v>33</v>
      </c>
      <c r="B38">
        <v>51.459299999999999</v>
      </c>
      <c r="C38">
        <v>8.6175119999999996</v>
      </c>
      <c r="D38">
        <v>9.5852529999999998</v>
      </c>
      <c r="E38">
        <v>21.505400000000002</v>
      </c>
      <c r="F38">
        <v>32.794199999999996</v>
      </c>
      <c r="G38">
        <v>1</v>
      </c>
      <c r="H38">
        <f t="shared" si="0"/>
        <v>1.8101075962311897</v>
      </c>
      <c r="I38">
        <f t="shared" si="1"/>
        <v>0.85937487774062804</v>
      </c>
      <c r="J38">
        <f t="shared" si="2"/>
        <v>1</v>
      </c>
      <c r="K38">
        <f t="shared" si="3"/>
        <v>0.85937487774062804</v>
      </c>
      <c r="L38">
        <f t="shared" si="4"/>
        <v>-0.15155004039266207</v>
      </c>
    </row>
    <row r="39" spans="1:12" x14ac:dyDescent="0.3">
      <c r="A39">
        <v>34</v>
      </c>
      <c r="B39">
        <v>122.3764</v>
      </c>
      <c r="C39">
        <v>9.0537179999999999</v>
      </c>
      <c r="D39">
        <v>6.6702239999999993</v>
      </c>
      <c r="E39">
        <v>72.572000000000003</v>
      </c>
      <c r="F39">
        <v>318.48989999999998</v>
      </c>
      <c r="G39">
        <v>0</v>
      </c>
      <c r="H39">
        <f t="shared" si="0"/>
        <v>-0.96373064239680861</v>
      </c>
      <c r="I39">
        <f t="shared" si="1"/>
        <v>0.27613188020368473</v>
      </c>
      <c r="J39">
        <f t="shared" si="2"/>
        <v>0</v>
      </c>
      <c r="K39">
        <f t="shared" si="3"/>
        <v>0.72386811979631527</v>
      </c>
      <c r="L39">
        <f t="shared" si="4"/>
        <v>-0.32314605816611863</v>
      </c>
    </row>
    <row r="40" spans="1:12" x14ac:dyDescent="0.3">
      <c r="A40">
        <v>35</v>
      </c>
      <c r="B40">
        <v>69.549800000000005</v>
      </c>
      <c r="C40">
        <v>36.724414000000003</v>
      </c>
      <c r="D40">
        <v>39.827811000000004</v>
      </c>
      <c r="E40">
        <v>47.420400000000001</v>
      </c>
      <c r="F40">
        <v>104.0339</v>
      </c>
      <c r="G40">
        <v>0</v>
      </c>
      <c r="H40">
        <f t="shared" si="0"/>
        <v>-2.222545132489719</v>
      </c>
      <c r="I40">
        <f t="shared" si="1"/>
        <v>9.7744118628569659E-2</v>
      </c>
      <c r="J40">
        <f t="shared" si="2"/>
        <v>0</v>
      </c>
      <c r="K40">
        <f t="shared" si="3"/>
        <v>0.90225588137143031</v>
      </c>
      <c r="L40">
        <f t="shared" si="4"/>
        <v>-0.10285711691974189</v>
      </c>
    </row>
    <row r="41" spans="1:12" x14ac:dyDescent="0.3">
      <c r="A41">
        <v>36</v>
      </c>
      <c r="B41">
        <v>161.37200000000001</v>
      </c>
      <c r="C41">
        <v>6.2935049999999997</v>
      </c>
      <c r="D41">
        <v>1.8288820000000001</v>
      </c>
      <c r="E41">
        <v>59.169800000000002</v>
      </c>
      <c r="F41">
        <v>193.7681</v>
      </c>
      <c r="G41">
        <v>0</v>
      </c>
      <c r="H41">
        <f t="shared" si="0"/>
        <v>-0.63680177080861533</v>
      </c>
      <c r="I41">
        <f t="shared" si="1"/>
        <v>0.34596986085457887</v>
      </c>
      <c r="J41">
        <f t="shared" si="2"/>
        <v>0</v>
      </c>
      <c r="K41">
        <f t="shared" si="3"/>
        <v>0.65403013914542107</v>
      </c>
      <c r="L41">
        <f t="shared" si="4"/>
        <v>-0.42460184426657233</v>
      </c>
    </row>
    <row r="42" spans="1:12" x14ac:dyDescent="0.3">
      <c r="A42">
        <v>37</v>
      </c>
      <c r="B42">
        <v>551.65499999999997</v>
      </c>
      <c r="C42">
        <v>27.582748000000002</v>
      </c>
      <c r="D42">
        <v>5.4262789999999992</v>
      </c>
      <c r="E42">
        <v>306.92079999999999</v>
      </c>
      <c r="F42">
        <v>181.46940000000001</v>
      </c>
      <c r="G42">
        <v>0</v>
      </c>
      <c r="H42">
        <f t="shared" si="0"/>
        <v>-11.549533957601287</v>
      </c>
      <c r="I42">
        <f t="shared" si="1"/>
        <v>9.6404420162031524E-6</v>
      </c>
      <c r="J42">
        <f t="shared" si="2"/>
        <v>0</v>
      </c>
      <c r="K42">
        <f t="shared" si="3"/>
        <v>0.99999035955798377</v>
      </c>
      <c r="L42">
        <f t="shared" si="4"/>
        <v>-9.6404884855941656E-6</v>
      </c>
    </row>
    <row r="43" spans="1:12" x14ac:dyDescent="0.3">
      <c r="A43">
        <v>38</v>
      </c>
      <c r="B43">
        <v>182.38339999999999</v>
      </c>
      <c r="C43">
        <v>19.927461000000001</v>
      </c>
      <c r="D43">
        <v>2.7875650000000003</v>
      </c>
      <c r="E43">
        <v>10.3626</v>
      </c>
      <c r="F43">
        <v>118.2642</v>
      </c>
      <c r="G43">
        <v>0</v>
      </c>
      <c r="H43">
        <f t="shared" si="0"/>
        <v>-0.44333834551913576</v>
      </c>
      <c r="I43">
        <f t="shared" si="1"/>
        <v>0.39094579646114702</v>
      </c>
      <c r="J43">
        <f t="shared" si="2"/>
        <v>0</v>
      </c>
      <c r="K43">
        <f t="shared" si="3"/>
        <v>0.60905420353885298</v>
      </c>
      <c r="L43">
        <f t="shared" si="4"/>
        <v>-0.49584801106398774</v>
      </c>
    </row>
    <row r="44" spans="1:12" x14ac:dyDescent="0.3">
      <c r="A44">
        <v>39</v>
      </c>
      <c r="B44">
        <v>328.18959999999998</v>
      </c>
      <c r="C44">
        <v>3.979425</v>
      </c>
      <c r="D44">
        <v>1.937022</v>
      </c>
      <c r="E44">
        <v>341.23700000000002</v>
      </c>
      <c r="F44">
        <v>519.79359999999997</v>
      </c>
      <c r="G44">
        <v>0</v>
      </c>
      <c r="H44">
        <f t="shared" si="0"/>
        <v>-8.2281138241756793</v>
      </c>
      <c r="I44">
        <f t="shared" si="1"/>
        <v>2.6696824797811381E-4</v>
      </c>
      <c r="J44">
        <f t="shared" si="2"/>
        <v>0</v>
      </c>
      <c r="K44">
        <f t="shared" si="3"/>
        <v>0.99973303175202188</v>
      </c>
      <c r="L44">
        <f t="shared" si="4"/>
        <v>-2.6700389034455875E-4</v>
      </c>
    </row>
    <row r="45" spans="1:12" x14ac:dyDescent="0.3">
      <c r="A45">
        <v>40</v>
      </c>
      <c r="B45">
        <v>241.71199999999999</v>
      </c>
      <c r="C45">
        <v>8.6438300000000012</v>
      </c>
      <c r="D45">
        <v>19.643475000000002</v>
      </c>
      <c r="E45">
        <v>970.35080000000005</v>
      </c>
      <c r="F45">
        <v>78.42179999999999</v>
      </c>
      <c r="G45">
        <v>0</v>
      </c>
      <c r="H45">
        <f t="shared" si="0"/>
        <v>-13.32251740936082</v>
      </c>
      <c r="I45">
        <f t="shared" si="1"/>
        <v>1.6372066237306542E-6</v>
      </c>
      <c r="J45">
        <f t="shared" si="2"/>
        <v>0</v>
      </c>
      <c r="K45">
        <f t="shared" si="3"/>
        <v>0.99999836279337628</v>
      </c>
      <c r="L45">
        <f t="shared" si="4"/>
        <v>-1.6372079639411408E-6</v>
      </c>
    </row>
    <row r="46" spans="1:12" x14ac:dyDescent="0.3">
      <c r="A46">
        <v>41</v>
      </c>
      <c r="B46">
        <v>175.3862</v>
      </c>
      <c r="C46">
        <v>21.978076999999999</v>
      </c>
      <c r="D46">
        <v>13.692077999999999</v>
      </c>
      <c r="E46">
        <v>58.794199999999996</v>
      </c>
      <c r="F46">
        <v>78.313400000000001</v>
      </c>
      <c r="G46">
        <v>0</v>
      </c>
      <c r="H46">
        <f t="shared" si="0"/>
        <v>-1.7345660564967655</v>
      </c>
      <c r="I46">
        <f t="shared" si="1"/>
        <v>0.15000446241330834</v>
      </c>
      <c r="J46">
        <f t="shared" si="2"/>
        <v>0</v>
      </c>
      <c r="K46">
        <f t="shared" si="3"/>
        <v>0.84999553758669166</v>
      </c>
      <c r="L46">
        <f t="shared" si="4"/>
        <v>-0.16252417940956548</v>
      </c>
    </row>
    <row r="47" spans="1:12" x14ac:dyDescent="0.3">
      <c r="A47">
        <v>42</v>
      </c>
      <c r="B47">
        <v>448.85840000000002</v>
      </c>
      <c r="C47">
        <v>16.29569</v>
      </c>
      <c r="D47">
        <v>12.220743000000001</v>
      </c>
      <c r="E47">
        <v>54.878599999999999</v>
      </c>
      <c r="F47">
        <v>181.03559999999999</v>
      </c>
      <c r="G47">
        <v>0</v>
      </c>
      <c r="H47">
        <f t="shared" si="0"/>
        <v>-7.3512055890738699</v>
      </c>
      <c r="I47">
        <f t="shared" si="1"/>
        <v>6.4140645853521605E-4</v>
      </c>
      <c r="J47">
        <f t="shared" si="2"/>
        <v>0</v>
      </c>
      <c r="K47">
        <f t="shared" si="3"/>
        <v>0.99935859354146483</v>
      </c>
      <c r="L47">
        <f t="shared" si="4"/>
        <v>-6.4161224765871099E-4</v>
      </c>
    </row>
    <row r="48" spans="1:12" x14ac:dyDescent="0.3">
      <c r="A48">
        <v>43</v>
      </c>
      <c r="B48">
        <v>58.769100000000002</v>
      </c>
      <c r="C48">
        <v>32.248958999999999</v>
      </c>
      <c r="D48">
        <v>7.0198979999999995</v>
      </c>
      <c r="E48">
        <v>39.796399999999998</v>
      </c>
      <c r="F48">
        <v>134.58539999999999</v>
      </c>
      <c r="G48">
        <v>1</v>
      </c>
      <c r="H48">
        <f t="shared" si="0"/>
        <v>1.1403849627115275</v>
      </c>
      <c r="I48">
        <f t="shared" si="1"/>
        <v>0.7577503116095119</v>
      </c>
      <c r="J48">
        <f t="shared" si="2"/>
        <v>1</v>
      </c>
      <c r="K48">
        <f t="shared" si="3"/>
        <v>0.7577503116095119</v>
      </c>
      <c r="L48">
        <f t="shared" si="4"/>
        <v>-0.27740135181433628</v>
      </c>
    </row>
    <row r="49" spans="1:12" x14ac:dyDescent="0.3">
      <c r="A49">
        <v>44</v>
      </c>
      <c r="B49">
        <v>102.05185</v>
      </c>
      <c r="C49">
        <v>21.846651999999999</v>
      </c>
      <c r="D49">
        <v>4.7408210000000004</v>
      </c>
      <c r="E49">
        <v>15.6587</v>
      </c>
      <c r="F49">
        <v>177.72569999999999</v>
      </c>
      <c r="G49">
        <v>1</v>
      </c>
      <c r="H49">
        <f t="shared" si="0"/>
        <v>0.67313147705942722</v>
      </c>
      <c r="I49">
        <f t="shared" si="1"/>
        <v>0.66220399428936116</v>
      </c>
      <c r="J49">
        <f t="shared" si="2"/>
        <v>1</v>
      </c>
      <c r="K49">
        <f t="shared" si="3"/>
        <v>0.66220399428936116</v>
      </c>
      <c r="L49">
        <f t="shared" si="4"/>
        <v>-0.41218162203976322</v>
      </c>
    </row>
    <row r="50" spans="1:12" x14ac:dyDescent="0.3">
      <c r="A50">
        <v>45</v>
      </c>
      <c r="B50">
        <v>919.11860000000001</v>
      </c>
      <c r="C50">
        <v>12.946122000000001</v>
      </c>
      <c r="D50">
        <v>5.4107759999999994</v>
      </c>
      <c r="E50">
        <v>9.1707999999999998</v>
      </c>
      <c r="F50">
        <v>98.875900000000001</v>
      </c>
      <c r="G50">
        <v>0</v>
      </c>
      <c r="H50">
        <f t="shared" si="0"/>
        <v>-15.246190015597541</v>
      </c>
      <c r="I50">
        <f t="shared" si="1"/>
        <v>2.3914632000634069E-7</v>
      </c>
      <c r="J50">
        <f t="shared" si="2"/>
        <v>0</v>
      </c>
      <c r="K50">
        <f t="shared" si="3"/>
        <v>0.99999976085368003</v>
      </c>
      <c r="L50">
        <f t="shared" si="4"/>
        <v>-2.3914634856461592E-7</v>
      </c>
    </row>
    <row r="51" spans="1:12" x14ac:dyDescent="0.3">
      <c r="A51">
        <v>46</v>
      </c>
      <c r="B51">
        <v>157.173</v>
      </c>
      <c r="C51">
        <v>8.236286999999999</v>
      </c>
      <c r="D51">
        <v>1.4219409999999999</v>
      </c>
      <c r="E51">
        <v>48.101300000000002</v>
      </c>
      <c r="F51">
        <v>101.1097</v>
      </c>
      <c r="G51">
        <v>1</v>
      </c>
      <c r="H51">
        <f t="shared" si="0"/>
        <v>-5.78896877456474E-2</v>
      </c>
      <c r="I51">
        <f t="shared" si="1"/>
        <v>0.48553161839385739</v>
      </c>
      <c r="J51">
        <f t="shared" si="2"/>
        <v>0</v>
      </c>
      <c r="K51">
        <f t="shared" si="3"/>
        <v>0.48553161839385739</v>
      </c>
      <c r="L51">
        <f t="shared" si="4"/>
        <v>-0.72251086794628494</v>
      </c>
    </row>
    <row r="52" spans="1:12" x14ac:dyDescent="0.3">
      <c r="A52">
        <v>47</v>
      </c>
      <c r="B52">
        <v>113.3558</v>
      </c>
      <c r="C52">
        <v>30.756010999999997</v>
      </c>
      <c r="D52">
        <v>13.094432999999999</v>
      </c>
      <c r="E52">
        <v>51.192999999999998</v>
      </c>
      <c r="F52">
        <v>140.1842</v>
      </c>
      <c r="G52">
        <v>0</v>
      </c>
      <c r="H52">
        <f t="shared" si="0"/>
        <v>-0.66295704333031225</v>
      </c>
      <c r="I52">
        <f t="shared" si="1"/>
        <v>0.34007566594483962</v>
      </c>
      <c r="J52">
        <f t="shared" si="2"/>
        <v>0</v>
      </c>
      <c r="K52">
        <f t="shared" si="3"/>
        <v>0.65992433405516038</v>
      </c>
      <c r="L52">
        <f t="shared" si="4"/>
        <v>-0.41563009590491784</v>
      </c>
    </row>
    <row r="53" spans="1:12" x14ac:dyDescent="0.3">
      <c r="A53">
        <v>48</v>
      </c>
      <c r="B53">
        <v>417.32279999999997</v>
      </c>
      <c r="C53">
        <v>18.725393999999998</v>
      </c>
      <c r="D53">
        <v>19.699802999999999</v>
      </c>
      <c r="E53">
        <v>200.78739999999999</v>
      </c>
      <c r="F53">
        <v>179.03540000000001</v>
      </c>
      <c r="G53">
        <v>0</v>
      </c>
      <c r="H53">
        <f t="shared" si="0"/>
        <v>-9.0196928920327331</v>
      </c>
      <c r="I53">
        <f t="shared" si="1"/>
        <v>1.2098864158234132E-4</v>
      </c>
      <c r="J53">
        <f t="shared" si="2"/>
        <v>0</v>
      </c>
      <c r="K53">
        <f t="shared" si="3"/>
        <v>0.99987901135841761</v>
      </c>
      <c r="L53">
        <f t="shared" si="4"/>
        <v>-1.2099596129849047E-4</v>
      </c>
    </row>
    <row r="54" spans="1:12" x14ac:dyDescent="0.3">
      <c r="A54">
        <v>49</v>
      </c>
      <c r="B54">
        <v>277.78359999999998</v>
      </c>
      <c r="C54">
        <v>10.678865</v>
      </c>
      <c r="D54">
        <v>27.549641000000001</v>
      </c>
      <c r="E54">
        <v>123.92140000000001</v>
      </c>
      <c r="F54">
        <v>259.12</v>
      </c>
      <c r="G54">
        <v>0</v>
      </c>
      <c r="H54">
        <f t="shared" si="0"/>
        <v>-6.4047449976971036</v>
      </c>
      <c r="I54">
        <f t="shared" si="1"/>
        <v>1.6509616812740286E-3</v>
      </c>
      <c r="J54">
        <f t="shared" si="2"/>
        <v>0</v>
      </c>
      <c r="K54">
        <f t="shared" si="3"/>
        <v>0.99834903831872601</v>
      </c>
      <c r="L54">
        <f t="shared" si="4"/>
        <v>-1.6523260203649909E-3</v>
      </c>
    </row>
    <row r="55" spans="1:12" x14ac:dyDescent="0.3">
      <c r="A55">
        <v>50</v>
      </c>
      <c r="B55">
        <v>95.724000000000004</v>
      </c>
      <c r="C55">
        <v>39.450245000000002</v>
      </c>
      <c r="D55">
        <v>8.0348319999999998</v>
      </c>
      <c r="E55">
        <v>138.7998</v>
      </c>
      <c r="F55">
        <v>163.7998</v>
      </c>
      <c r="G55">
        <v>0</v>
      </c>
      <c r="H55">
        <f t="shared" si="0"/>
        <v>-0.92608914818477306</v>
      </c>
      <c r="I55">
        <f t="shared" si="1"/>
        <v>0.28371881469339016</v>
      </c>
      <c r="J55">
        <f t="shared" si="2"/>
        <v>0</v>
      </c>
      <c r="K55">
        <f t="shared" si="3"/>
        <v>0.71628118530660978</v>
      </c>
      <c r="L55">
        <f t="shared" si="4"/>
        <v>-0.33368247220592057</v>
      </c>
    </row>
    <row r="56" spans="1:12" x14ac:dyDescent="0.3">
      <c r="A56">
        <v>51</v>
      </c>
      <c r="B56">
        <v>133.06120000000001</v>
      </c>
      <c r="C56">
        <v>31.008163</v>
      </c>
      <c r="D56">
        <v>16.583672999999997</v>
      </c>
      <c r="E56">
        <v>5.7141999999999999</v>
      </c>
      <c r="F56">
        <v>44.591799999999999</v>
      </c>
      <c r="G56">
        <v>0</v>
      </c>
      <c r="H56">
        <f t="shared" si="0"/>
        <v>-0.54011155684575129</v>
      </c>
      <c r="I56">
        <f t="shared" si="1"/>
        <v>0.36816163167999894</v>
      </c>
      <c r="J56">
        <f t="shared" si="2"/>
        <v>0</v>
      </c>
      <c r="K56">
        <f t="shared" si="3"/>
        <v>0.63183836832000106</v>
      </c>
      <c r="L56">
        <f t="shared" si="4"/>
        <v>-0.45912166387306114</v>
      </c>
    </row>
    <row r="57" spans="1:12" x14ac:dyDescent="0.3">
      <c r="A57">
        <v>52</v>
      </c>
      <c r="B57">
        <v>39.968600000000002</v>
      </c>
      <c r="C57">
        <v>20.952193999999999</v>
      </c>
      <c r="D57">
        <v>14.874608</v>
      </c>
      <c r="E57">
        <v>126.1756</v>
      </c>
      <c r="F57">
        <v>123.7461</v>
      </c>
      <c r="G57">
        <v>0</v>
      </c>
      <c r="H57">
        <f t="shared" si="0"/>
        <v>-3.6414120172933551E-2</v>
      </c>
      <c r="I57">
        <f t="shared" si="1"/>
        <v>0.49089747575447773</v>
      </c>
      <c r="J57">
        <f t="shared" si="2"/>
        <v>0</v>
      </c>
      <c r="K57">
        <f t="shared" si="3"/>
        <v>0.50910252424552227</v>
      </c>
      <c r="L57">
        <f t="shared" si="4"/>
        <v>-0.67510585983526028</v>
      </c>
    </row>
    <row r="58" spans="1:12" x14ac:dyDescent="0.3">
      <c r="A58">
        <v>53</v>
      </c>
      <c r="B58">
        <v>102.1739</v>
      </c>
      <c r="C58">
        <v>27.339130000000001</v>
      </c>
      <c r="D58">
        <v>3.93913</v>
      </c>
      <c r="E58">
        <v>38.260899999999999</v>
      </c>
      <c r="F58">
        <v>165.08699999999999</v>
      </c>
      <c r="G58">
        <v>1</v>
      </c>
      <c r="H58">
        <f t="shared" si="0"/>
        <v>0.50942965240805904</v>
      </c>
      <c r="I58">
        <f t="shared" si="1"/>
        <v>0.62467276216429579</v>
      </c>
      <c r="J58">
        <f t="shared" si="2"/>
        <v>1</v>
      </c>
      <c r="K58">
        <f t="shared" si="3"/>
        <v>0.62467276216429579</v>
      </c>
      <c r="L58">
        <f t="shared" si="4"/>
        <v>-0.47052734689901471</v>
      </c>
    </row>
    <row r="59" spans="1:12" x14ac:dyDescent="0.3">
      <c r="A59">
        <v>54</v>
      </c>
      <c r="B59">
        <v>16.966049999999999</v>
      </c>
      <c r="C59">
        <v>50.933134000000003</v>
      </c>
      <c r="D59">
        <v>29.780439000000001</v>
      </c>
      <c r="E59">
        <v>12.475</v>
      </c>
      <c r="F59">
        <v>41.914200000000001</v>
      </c>
      <c r="G59">
        <v>1</v>
      </c>
      <c r="H59">
        <f t="shared" si="0"/>
        <v>0.28988227561386903</v>
      </c>
      <c r="I59">
        <f t="shared" si="1"/>
        <v>0.57196731180840366</v>
      </c>
      <c r="J59">
        <f t="shared" si="2"/>
        <v>1</v>
      </c>
      <c r="K59">
        <f t="shared" si="3"/>
        <v>0.57196731180840366</v>
      </c>
      <c r="L59">
        <f t="shared" si="4"/>
        <v>-0.55867343642340739</v>
      </c>
    </row>
    <row r="60" spans="1:12" x14ac:dyDescent="0.3">
      <c r="A60">
        <v>55</v>
      </c>
      <c r="B60">
        <v>293.51799999999997</v>
      </c>
      <c r="C60">
        <v>43.684224</v>
      </c>
      <c r="D60">
        <v>7.0100840000000009</v>
      </c>
      <c r="E60">
        <v>48.919600000000003</v>
      </c>
      <c r="F60">
        <v>206.62729999999999</v>
      </c>
      <c r="G60">
        <v>0</v>
      </c>
      <c r="H60">
        <f t="shared" si="0"/>
        <v>-4.0025055532248137</v>
      </c>
      <c r="I60">
        <f t="shared" si="1"/>
        <v>1.79420085172841E-2</v>
      </c>
      <c r="J60">
        <f t="shared" si="2"/>
        <v>0</v>
      </c>
      <c r="K60">
        <f t="shared" si="3"/>
        <v>0.98205799148271589</v>
      </c>
      <c r="L60">
        <f t="shared" si="4"/>
        <v>-1.8104917908266519E-2</v>
      </c>
    </row>
    <row r="61" spans="1:12" x14ac:dyDescent="0.3">
      <c r="A61">
        <v>56</v>
      </c>
      <c r="B61">
        <v>133.33340000000001</v>
      </c>
      <c r="C61">
        <v>23.614379</v>
      </c>
      <c r="D61">
        <v>10.098039</v>
      </c>
      <c r="E61">
        <v>24.836600000000001</v>
      </c>
      <c r="F61">
        <v>92.9739</v>
      </c>
      <c r="G61">
        <v>0</v>
      </c>
      <c r="H61">
        <f t="shared" si="0"/>
        <v>-0.25478596064458259</v>
      </c>
      <c r="I61">
        <f t="shared" si="1"/>
        <v>0.43664586376278025</v>
      </c>
      <c r="J61">
        <f t="shared" si="2"/>
        <v>0</v>
      </c>
      <c r="K61">
        <f t="shared" si="3"/>
        <v>0.56335413623721975</v>
      </c>
      <c r="L61">
        <f t="shared" si="4"/>
        <v>-0.57384683218320687</v>
      </c>
    </row>
    <row r="62" spans="1:12" x14ac:dyDescent="0.3">
      <c r="A62">
        <v>57</v>
      </c>
      <c r="B62">
        <v>131.6343</v>
      </c>
      <c r="C62">
        <v>12.737845</v>
      </c>
      <c r="D62">
        <v>5.5919829999999999</v>
      </c>
      <c r="E62">
        <v>3.4641000000000002</v>
      </c>
      <c r="F62">
        <v>38.589300000000001</v>
      </c>
      <c r="G62">
        <v>1</v>
      </c>
      <c r="H62">
        <f t="shared" si="0"/>
        <v>0.73363346351877778</v>
      </c>
      <c r="I62">
        <f t="shared" si="1"/>
        <v>0.67560210415811217</v>
      </c>
      <c r="J62">
        <f t="shared" si="2"/>
        <v>1</v>
      </c>
      <c r="K62">
        <f t="shared" si="3"/>
        <v>0.67560210415811217</v>
      </c>
      <c r="L62">
        <f t="shared" si="4"/>
        <v>-0.39215097955051176</v>
      </c>
    </row>
    <row r="63" spans="1:12" x14ac:dyDescent="0.3">
      <c r="A63">
        <v>58</v>
      </c>
      <c r="B63">
        <v>30.389150000000001</v>
      </c>
      <c r="C63">
        <v>42.006177000000001</v>
      </c>
      <c r="D63">
        <v>11.147621999999998</v>
      </c>
      <c r="E63">
        <v>37.554000000000002</v>
      </c>
      <c r="F63">
        <v>141.80420000000001</v>
      </c>
      <c r="G63">
        <v>1</v>
      </c>
      <c r="H63">
        <f t="shared" si="0"/>
        <v>1.2302106362905563</v>
      </c>
      <c r="I63">
        <f t="shared" si="1"/>
        <v>0.77385543842042592</v>
      </c>
      <c r="J63">
        <f t="shared" si="2"/>
        <v>1</v>
      </c>
      <c r="K63">
        <f t="shared" si="3"/>
        <v>0.77385543842042592</v>
      </c>
      <c r="L63">
        <f t="shared" si="4"/>
        <v>-0.25637019490311763</v>
      </c>
    </row>
    <row r="64" spans="1:12" x14ac:dyDescent="0.3">
      <c r="A64">
        <v>59</v>
      </c>
      <c r="B64">
        <v>88.869799999999998</v>
      </c>
      <c r="C64">
        <v>19.162552000000002</v>
      </c>
      <c r="D64">
        <v>18.752382999999998</v>
      </c>
      <c r="E64">
        <v>8.5451999999999995</v>
      </c>
      <c r="F64">
        <v>113.0153</v>
      </c>
      <c r="G64">
        <v>0</v>
      </c>
      <c r="H64">
        <f t="shared" si="0"/>
        <v>-6.4196923531512518E-2</v>
      </c>
      <c r="I64">
        <f t="shared" si="1"/>
        <v>0.48395627874751129</v>
      </c>
      <c r="J64">
        <f t="shared" si="2"/>
        <v>0</v>
      </c>
      <c r="K64">
        <f t="shared" si="3"/>
        <v>0.51604372125248865</v>
      </c>
      <c r="L64">
        <f t="shared" si="4"/>
        <v>-0.66156378598057786</v>
      </c>
    </row>
    <row r="65" spans="1:12" x14ac:dyDescent="0.3">
      <c r="A65">
        <v>60</v>
      </c>
      <c r="B65">
        <v>59.764200000000002</v>
      </c>
      <c r="C65">
        <v>9.0393369999999997</v>
      </c>
      <c r="D65">
        <v>19.432707000000001</v>
      </c>
      <c r="E65">
        <v>42.955599999999997</v>
      </c>
      <c r="F65">
        <v>50.213000000000001</v>
      </c>
      <c r="G65">
        <v>0</v>
      </c>
      <c r="H65">
        <f t="shared" si="0"/>
        <v>0.39975046381404056</v>
      </c>
      <c r="I65">
        <f t="shared" si="1"/>
        <v>0.59862770488616912</v>
      </c>
      <c r="J65">
        <f t="shared" si="2"/>
        <v>1</v>
      </c>
      <c r="K65">
        <f t="shared" si="3"/>
        <v>0.40137229511383088</v>
      </c>
      <c r="L65">
        <f t="shared" si="4"/>
        <v>-0.91286586564510519</v>
      </c>
    </row>
    <row r="66" spans="1:12" x14ac:dyDescent="0.3">
      <c r="A66">
        <v>61</v>
      </c>
      <c r="B66">
        <v>34.296950000000002</v>
      </c>
      <c r="C66">
        <v>31.876763999999998</v>
      </c>
      <c r="D66">
        <v>12.722233000000001</v>
      </c>
      <c r="E66">
        <v>112.9211</v>
      </c>
      <c r="F66">
        <v>79.889099999999999</v>
      </c>
      <c r="G66">
        <v>1</v>
      </c>
      <c r="H66">
        <f t="shared" si="0"/>
        <v>0.50638813613270006</v>
      </c>
      <c r="I66">
        <f t="shared" si="1"/>
        <v>0.62395938833085307</v>
      </c>
      <c r="J66">
        <f t="shared" si="2"/>
        <v>1</v>
      </c>
      <c r="K66">
        <f t="shared" si="3"/>
        <v>0.62395938833085307</v>
      </c>
      <c r="L66">
        <f t="shared" si="4"/>
        <v>-0.47166999553380701</v>
      </c>
    </row>
    <row r="67" spans="1:12" x14ac:dyDescent="0.3">
      <c r="A67">
        <v>62</v>
      </c>
      <c r="B67">
        <v>75.825500000000005</v>
      </c>
      <c r="C67">
        <v>11.58989</v>
      </c>
      <c r="D67">
        <v>0.627803</v>
      </c>
      <c r="E67">
        <v>5.2995999999999999</v>
      </c>
      <c r="F67">
        <v>44.250700000000002</v>
      </c>
      <c r="G67">
        <v>1</v>
      </c>
      <c r="H67">
        <f t="shared" si="0"/>
        <v>2.2905760958909438</v>
      </c>
      <c r="I67">
        <f t="shared" si="1"/>
        <v>0.90809354214184279</v>
      </c>
      <c r="J67">
        <f t="shared" si="2"/>
        <v>1</v>
      </c>
      <c r="K67">
        <f t="shared" si="3"/>
        <v>0.90809354214184279</v>
      </c>
      <c r="L67">
        <f t="shared" si="4"/>
        <v>-9.6407885707034402E-2</v>
      </c>
    </row>
    <row r="68" spans="1:12" x14ac:dyDescent="0.3">
      <c r="A68">
        <v>63</v>
      </c>
      <c r="B68">
        <v>60.285200000000003</v>
      </c>
      <c r="C68">
        <v>15.595087000000001</v>
      </c>
      <c r="D68">
        <v>11.274884</v>
      </c>
      <c r="E68">
        <v>2.5413000000000001</v>
      </c>
      <c r="F68">
        <v>4.9297000000000004</v>
      </c>
      <c r="G68">
        <v>1</v>
      </c>
      <c r="H68">
        <f t="shared" si="0"/>
        <v>1.7269000388065963</v>
      </c>
      <c r="I68">
        <f t="shared" si="1"/>
        <v>0.8490154715971836</v>
      </c>
      <c r="J68">
        <f t="shared" si="2"/>
        <v>1</v>
      </c>
      <c r="K68">
        <f t="shared" si="3"/>
        <v>0.8490154715971836</v>
      </c>
      <c r="L68">
        <f t="shared" si="4"/>
        <v>-0.16367786951859492</v>
      </c>
    </row>
    <row r="69" spans="1:12" x14ac:dyDescent="0.3">
      <c r="A69">
        <v>64</v>
      </c>
      <c r="B69">
        <v>52.327399999999997</v>
      </c>
      <c r="C69">
        <v>17.149459999999998</v>
      </c>
      <c r="D69">
        <v>7.4723649999999999</v>
      </c>
      <c r="E69">
        <v>26.512599999999999</v>
      </c>
      <c r="F69">
        <v>175.00550000000001</v>
      </c>
      <c r="G69">
        <v>0</v>
      </c>
      <c r="H69">
        <f t="shared" si="0"/>
        <v>1.3334620731134712</v>
      </c>
      <c r="I69">
        <f t="shared" si="1"/>
        <v>0.79141272565693366</v>
      </c>
      <c r="J69">
        <f t="shared" si="2"/>
        <v>1</v>
      </c>
      <c r="K69">
        <f t="shared" si="3"/>
        <v>0.20858727434306634</v>
      </c>
      <c r="L69">
        <f t="shared" si="4"/>
        <v>-1.5673977433431459</v>
      </c>
    </row>
    <row r="70" spans="1:12" x14ac:dyDescent="0.3">
      <c r="A70">
        <v>65</v>
      </c>
      <c r="B70">
        <v>112.3224</v>
      </c>
      <c r="C70">
        <v>20.515362</v>
      </c>
      <c r="D70">
        <v>19.081599000000001</v>
      </c>
      <c r="E70">
        <v>133.46539999999999</v>
      </c>
      <c r="F70">
        <v>41.187600000000003</v>
      </c>
      <c r="G70">
        <v>0</v>
      </c>
      <c r="H70">
        <f t="shared" si="0"/>
        <v>-1.6437882541529634</v>
      </c>
      <c r="I70">
        <f t="shared" si="1"/>
        <v>0.16195025309531599</v>
      </c>
      <c r="J70">
        <f t="shared" si="2"/>
        <v>0</v>
      </c>
      <c r="K70">
        <f t="shared" si="3"/>
        <v>0.83804974690468403</v>
      </c>
      <c r="L70">
        <f t="shared" si="4"/>
        <v>-0.17667781641394587</v>
      </c>
    </row>
    <row r="71" spans="1:12" x14ac:dyDescent="0.3">
      <c r="A71">
        <v>66</v>
      </c>
      <c r="B71">
        <v>1112.9494</v>
      </c>
      <c r="C71">
        <v>10.174992</v>
      </c>
      <c r="D71">
        <v>10.034998</v>
      </c>
      <c r="E71">
        <v>5.7270000000000003</v>
      </c>
      <c r="F71">
        <v>85.451799999999992</v>
      </c>
      <c r="G71">
        <v>0</v>
      </c>
      <c r="H71">
        <f t="shared" ref="H71:H92" si="5">SUMPRODUCT($B$4:$F$4,B71:F71)+$G$4</f>
        <v>-19.445418981910144</v>
      </c>
      <c r="I71">
        <f t="shared" ref="I71:I92" si="6">1/(1+EXP(0-H71))</f>
        <v>3.588903957067807E-9</v>
      </c>
      <c r="J71">
        <f t="shared" ref="J71:J92" si="7">IF(I71&gt;0.5,1,0)</f>
        <v>0</v>
      </c>
      <c r="K71">
        <f t="shared" ref="K71:K92" si="8">IF(G71=1,I71,1-I71)</f>
        <v>0.99999999641109605</v>
      </c>
      <c r="L71">
        <f t="shared" ref="L71:L92" si="9">IF(K71=0,-1000000,LN(K71))</f>
        <v>-3.5889039582412305E-9</v>
      </c>
    </row>
    <row r="72" spans="1:12" x14ac:dyDescent="0.3">
      <c r="A72">
        <v>67</v>
      </c>
      <c r="B72">
        <v>20.931899999999999</v>
      </c>
      <c r="C72">
        <v>27.724731000000002</v>
      </c>
      <c r="D72">
        <v>9.8437280000000005</v>
      </c>
      <c r="E72">
        <v>15.7706</v>
      </c>
      <c r="F72">
        <v>20.218599999999999</v>
      </c>
      <c r="G72">
        <v>1</v>
      </c>
      <c r="H72">
        <f t="shared" si="5"/>
        <v>2.3530686923920614</v>
      </c>
      <c r="I72">
        <f t="shared" si="6"/>
        <v>0.91317783468552483</v>
      </c>
      <c r="J72">
        <f t="shared" si="7"/>
        <v>1</v>
      </c>
      <c r="K72">
        <f t="shared" si="8"/>
        <v>0.91317783468552483</v>
      </c>
      <c r="L72">
        <f t="shared" si="9"/>
        <v>-9.0824636756938207E-2</v>
      </c>
    </row>
    <row r="73" spans="1:12" x14ac:dyDescent="0.3">
      <c r="A73">
        <v>68</v>
      </c>
      <c r="B73">
        <v>2795.6318000000001</v>
      </c>
      <c r="C73">
        <v>10.682173000000001</v>
      </c>
      <c r="D73">
        <v>4.2433699999999996</v>
      </c>
      <c r="E73">
        <v>10.211399999999999</v>
      </c>
      <c r="F73">
        <v>36.3459</v>
      </c>
      <c r="G73">
        <v>0</v>
      </c>
      <c r="H73">
        <f t="shared" si="5"/>
        <v>-52.313238643339893</v>
      </c>
      <c r="I73">
        <f t="shared" si="6"/>
        <v>1.9083108814484983E-23</v>
      </c>
      <c r="J73">
        <f t="shared" si="7"/>
        <v>0</v>
      </c>
      <c r="K73">
        <f t="shared" si="8"/>
        <v>1</v>
      </c>
      <c r="L73">
        <f t="shared" si="9"/>
        <v>0</v>
      </c>
    </row>
    <row r="74" spans="1:12" x14ac:dyDescent="0.3">
      <c r="A74">
        <v>69</v>
      </c>
      <c r="B74">
        <v>124.73779999999999</v>
      </c>
      <c r="C74">
        <v>23.328166</v>
      </c>
      <c r="D74">
        <v>13.236072</v>
      </c>
      <c r="E74">
        <v>40.849800000000002</v>
      </c>
      <c r="F74">
        <v>80.803799999999995</v>
      </c>
      <c r="G74">
        <v>0</v>
      </c>
      <c r="H74">
        <f t="shared" si="5"/>
        <v>-0.50795138972879883</v>
      </c>
      <c r="I74">
        <f t="shared" si="6"/>
        <v>0.37567389025332515</v>
      </c>
      <c r="J74">
        <f t="shared" si="7"/>
        <v>0</v>
      </c>
      <c r="K74">
        <f t="shared" si="8"/>
        <v>0.6243261097466748</v>
      </c>
      <c r="L74">
        <f t="shared" si="9"/>
        <v>-0.47108243535316452</v>
      </c>
    </row>
    <row r="75" spans="1:12" x14ac:dyDescent="0.3">
      <c r="A75">
        <v>70</v>
      </c>
      <c r="B75">
        <v>461.43079999999998</v>
      </c>
      <c r="C75">
        <v>20.47879</v>
      </c>
      <c r="D75">
        <v>9.0662190000000002</v>
      </c>
      <c r="E75">
        <v>15.679600000000001</v>
      </c>
      <c r="F75">
        <v>88.838700000000003</v>
      </c>
      <c r="G75">
        <v>0</v>
      </c>
      <c r="H75">
        <f t="shared" si="5"/>
        <v>-6.5602310386884026</v>
      </c>
      <c r="I75">
        <f t="shared" si="6"/>
        <v>1.4135576500339585E-3</v>
      </c>
      <c r="J75">
        <f t="shared" si="7"/>
        <v>0</v>
      </c>
      <c r="K75">
        <f t="shared" si="8"/>
        <v>0.99858644234996607</v>
      </c>
      <c r="L75">
        <f t="shared" si="9"/>
        <v>-1.4145576651460115E-3</v>
      </c>
    </row>
    <row r="76" spans="1:12" x14ac:dyDescent="0.3">
      <c r="A76">
        <v>71</v>
      </c>
      <c r="B76">
        <v>120.726</v>
      </c>
      <c r="C76">
        <v>23.97214</v>
      </c>
      <c r="D76">
        <v>10.747150999999999</v>
      </c>
      <c r="E76">
        <v>12.663600000000001</v>
      </c>
      <c r="F76">
        <v>61.724400000000003</v>
      </c>
      <c r="G76">
        <v>0</v>
      </c>
      <c r="H76">
        <f t="shared" si="5"/>
        <v>0.18128920796872183</v>
      </c>
      <c r="I76">
        <f t="shared" si="6"/>
        <v>0.54519857921188608</v>
      </c>
      <c r="J76">
        <f t="shared" si="7"/>
        <v>1</v>
      </c>
      <c r="K76">
        <f t="shared" si="8"/>
        <v>0.45480142078811392</v>
      </c>
      <c r="L76">
        <f t="shared" si="9"/>
        <v>-0.78789439312621634</v>
      </c>
    </row>
    <row r="77" spans="1:12" x14ac:dyDescent="0.3">
      <c r="A77">
        <v>72</v>
      </c>
      <c r="B77">
        <v>18.136849999999999</v>
      </c>
      <c r="C77">
        <v>42.192910000000005</v>
      </c>
      <c r="D77">
        <v>10.350371000000001</v>
      </c>
      <c r="E77">
        <v>3.7098</v>
      </c>
      <c r="F77">
        <v>46.815300000000001</v>
      </c>
      <c r="G77">
        <v>1</v>
      </c>
      <c r="H77">
        <f t="shared" si="5"/>
        <v>2.2747023665774844</v>
      </c>
      <c r="I77">
        <f t="shared" si="6"/>
        <v>0.9067601161872445</v>
      </c>
      <c r="J77">
        <f t="shared" si="7"/>
        <v>1</v>
      </c>
      <c r="K77">
        <f t="shared" si="8"/>
        <v>0.9067601161872445</v>
      </c>
      <c r="L77">
        <f t="shared" si="9"/>
        <v>-9.7877344347314849E-2</v>
      </c>
    </row>
    <row r="78" spans="1:12" x14ac:dyDescent="0.3">
      <c r="A78">
        <v>73</v>
      </c>
      <c r="B78">
        <v>44.603200000000001</v>
      </c>
      <c r="C78">
        <v>24.625837999999998</v>
      </c>
      <c r="D78">
        <v>22.360833</v>
      </c>
      <c r="E78">
        <v>2.0908000000000002</v>
      </c>
      <c r="F78">
        <v>29.316199999999998</v>
      </c>
      <c r="G78">
        <v>1</v>
      </c>
      <c r="H78">
        <f t="shared" si="5"/>
        <v>0.81721539586394565</v>
      </c>
      <c r="I78">
        <f t="shared" si="6"/>
        <v>0.69364492644237841</v>
      </c>
      <c r="J78">
        <f t="shared" si="7"/>
        <v>1</v>
      </c>
      <c r="K78">
        <f t="shared" si="8"/>
        <v>0.69364492644237841</v>
      </c>
      <c r="L78">
        <f t="shared" si="9"/>
        <v>-0.36579508277267553</v>
      </c>
    </row>
    <row r="79" spans="1:12" x14ac:dyDescent="0.3">
      <c r="A79">
        <v>74</v>
      </c>
      <c r="B79">
        <v>78.210999999999999</v>
      </c>
      <c r="C79">
        <v>10.045872000000001</v>
      </c>
      <c r="D79">
        <v>23.183485999999998</v>
      </c>
      <c r="E79">
        <v>5.5045999999999999</v>
      </c>
      <c r="F79">
        <v>51.752299999999998</v>
      </c>
      <c r="G79">
        <v>1</v>
      </c>
      <c r="H79">
        <f t="shared" si="5"/>
        <v>6.0892929830978382E-2</v>
      </c>
      <c r="I79">
        <f t="shared" si="6"/>
        <v>0.51521853028726949</v>
      </c>
      <c r="J79">
        <f t="shared" si="7"/>
        <v>1</v>
      </c>
      <c r="K79">
        <f t="shared" si="8"/>
        <v>0.51521853028726949</v>
      </c>
      <c r="L79">
        <f t="shared" si="9"/>
        <v>-0.66316413766630133</v>
      </c>
    </row>
    <row r="80" spans="1:12" x14ac:dyDescent="0.3">
      <c r="A80">
        <v>75</v>
      </c>
      <c r="B80">
        <v>422.89620000000002</v>
      </c>
      <c r="C80">
        <v>31.747116999999999</v>
      </c>
      <c r="D80">
        <v>11.610423000000001</v>
      </c>
      <c r="E80">
        <v>76.035799999999995</v>
      </c>
      <c r="F80">
        <v>233.4579</v>
      </c>
      <c r="G80">
        <v>0</v>
      </c>
      <c r="H80">
        <f t="shared" si="5"/>
        <v>-7.3234766710873744</v>
      </c>
      <c r="I80">
        <f t="shared" si="6"/>
        <v>6.5942895473514954E-4</v>
      </c>
      <c r="J80">
        <f t="shared" si="7"/>
        <v>0</v>
      </c>
      <c r="K80">
        <f t="shared" si="8"/>
        <v>0.99934057104526486</v>
      </c>
      <c r="L80">
        <f t="shared" si="9"/>
        <v>-6.5964647363907897E-4</v>
      </c>
    </row>
    <row r="81" spans="1:12" x14ac:dyDescent="0.3">
      <c r="A81">
        <v>76</v>
      </c>
      <c r="B81">
        <v>189.78100000000001</v>
      </c>
      <c r="C81">
        <v>35.808132999999998</v>
      </c>
      <c r="D81">
        <v>12.294056000000001</v>
      </c>
      <c r="E81">
        <v>135.55779999999999</v>
      </c>
      <c r="F81">
        <v>170.464</v>
      </c>
      <c r="G81">
        <v>0</v>
      </c>
      <c r="H81">
        <f t="shared" si="5"/>
        <v>-3.1722267879394161</v>
      </c>
      <c r="I81">
        <f t="shared" si="6"/>
        <v>4.0224359174851926E-2</v>
      </c>
      <c r="J81">
        <f t="shared" si="7"/>
        <v>0</v>
      </c>
      <c r="K81">
        <f t="shared" si="8"/>
        <v>0.9597756408251481</v>
      </c>
      <c r="L81">
        <f t="shared" si="9"/>
        <v>-4.105572930790656E-2</v>
      </c>
    </row>
    <row r="82" spans="1:12" x14ac:dyDescent="0.3">
      <c r="A82">
        <v>77</v>
      </c>
      <c r="B82">
        <v>267.40940000000001</v>
      </c>
      <c r="C82">
        <v>43.604457000000004</v>
      </c>
      <c r="D82">
        <v>6.1782730000000008</v>
      </c>
      <c r="E82">
        <v>135.9332</v>
      </c>
      <c r="F82">
        <v>206.05850000000001</v>
      </c>
      <c r="G82">
        <v>0</v>
      </c>
      <c r="H82">
        <f t="shared" si="5"/>
        <v>-4.3346129286529136</v>
      </c>
      <c r="I82">
        <f t="shared" si="6"/>
        <v>1.293737690876479E-2</v>
      </c>
      <c r="J82">
        <f t="shared" si="7"/>
        <v>0</v>
      </c>
      <c r="K82">
        <f t="shared" si="8"/>
        <v>0.98706262309123516</v>
      </c>
      <c r="L82">
        <f t="shared" si="9"/>
        <v>-1.3021793647270534E-2</v>
      </c>
    </row>
    <row r="83" spans="1:12" x14ac:dyDescent="0.3">
      <c r="A83">
        <v>78</v>
      </c>
      <c r="B83">
        <v>660.63639999999998</v>
      </c>
      <c r="C83">
        <v>38.904634999999999</v>
      </c>
      <c r="D83">
        <v>12.255158</v>
      </c>
      <c r="E83">
        <v>52.7104</v>
      </c>
      <c r="F83">
        <v>220.9068</v>
      </c>
      <c r="G83">
        <v>0</v>
      </c>
      <c r="H83">
        <f t="shared" si="5"/>
        <v>-11.884509099582409</v>
      </c>
      <c r="I83">
        <f t="shared" si="6"/>
        <v>6.896365695135429E-6</v>
      </c>
      <c r="J83">
        <f t="shared" si="7"/>
        <v>0</v>
      </c>
      <c r="K83">
        <f t="shared" si="8"/>
        <v>0.99999310363430483</v>
      </c>
      <c r="L83">
        <f t="shared" si="9"/>
        <v>-6.8963894752140535E-6</v>
      </c>
    </row>
    <row r="84" spans="1:12" x14ac:dyDescent="0.3">
      <c r="A84">
        <v>79</v>
      </c>
      <c r="B84">
        <v>238.983</v>
      </c>
      <c r="C84">
        <v>31.110168999999999</v>
      </c>
      <c r="D84">
        <v>34.546610000000001</v>
      </c>
      <c r="E84">
        <v>83.898399999999995</v>
      </c>
      <c r="F84">
        <v>154.661</v>
      </c>
      <c r="G84">
        <v>0</v>
      </c>
      <c r="H84">
        <f t="shared" si="5"/>
        <v>-5.635475428547287</v>
      </c>
      <c r="I84">
        <f t="shared" si="6"/>
        <v>3.5562877149559751E-3</v>
      </c>
      <c r="J84">
        <f t="shared" si="7"/>
        <v>0</v>
      </c>
      <c r="K84">
        <f t="shared" si="8"/>
        <v>0.99644371228504403</v>
      </c>
      <c r="L84">
        <f t="shared" si="9"/>
        <v>-3.5626263385533522E-3</v>
      </c>
    </row>
    <row r="85" spans="1:12" x14ac:dyDescent="0.3">
      <c r="A85">
        <v>80</v>
      </c>
      <c r="B85">
        <v>66.736199999999997</v>
      </c>
      <c r="C85">
        <v>69.739311999999998</v>
      </c>
      <c r="D85">
        <v>16.05376</v>
      </c>
      <c r="E85">
        <v>21.3186</v>
      </c>
      <c r="F85">
        <v>106.10299999999999</v>
      </c>
      <c r="G85">
        <v>0</v>
      </c>
      <c r="H85">
        <f t="shared" si="5"/>
        <v>0.12656772554659845</v>
      </c>
      <c r="I85">
        <f t="shared" si="6"/>
        <v>0.531599758575933</v>
      </c>
      <c r="J85">
        <f t="shared" si="7"/>
        <v>1</v>
      </c>
      <c r="K85">
        <f t="shared" si="8"/>
        <v>0.468400241424067</v>
      </c>
      <c r="L85">
        <f t="shared" si="9"/>
        <v>-0.7584321318358489</v>
      </c>
    </row>
    <row r="86" spans="1:12" x14ac:dyDescent="0.3">
      <c r="A86">
        <v>81</v>
      </c>
      <c r="B86">
        <v>57.906399999999998</v>
      </c>
      <c r="C86">
        <v>63.747216000000002</v>
      </c>
      <c r="D86">
        <v>17.934297999999998</v>
      </c>
      <c r="E86">
        <v>26.725999999999999</v>
      </c>
      <c r="F86">
        <v>60.634700000000002</v>
      </c>
      <c r="G86">
        <v>0</v>
      </c>
      <c r="H86">
        <f t="shared" si="5"/>
        <v>0.28431846662021343</v>
      </c>
      <c r="I86">
        <f t="shared" si="6"/>
        <v>0.57060463404456208</v>
      </c>
      <c r="J86">
        <f t="shared" si="7"/>
        <v>1</v>
      </c>
      <c r="K86">
        <f t="shared" si="8"/>
        <v>0.42939536595543792</v>
      </c>
      <c r="L86">
        <f t="shared" si="9"/>
        <v>-0.84537718550198215</v>
      </c>
    </row>
    <row r="87" spans="1:12" x14ac:dyDescent="0.3">
      <c r="A87">
        <v>82</v>
      </c>
      <c r="B87">
        <v>220.82634999999999</v>
      </c>
      <c r="C87">
        <v>17.761026999999999</v>
      </c>
      <c r="D87">
        <v>3.0764940000000003</v>
      </c>
      <c r="E87">
        <v>217.75540000000001</v>
      </c>
      <c r="F87">
        <v>235.73929999999999</v>
      </c>
      <c r="G87">
        <v>1</v>
      </c>
      <c r="H87">
        <f t="shared" si="5"/>
        <v>-3.8969346145733459</v>
      </c>
      <c r="I87">
        <f t="shared" si="6"/>
        <v>1.9900005089983071E-2</v>
      </c>
      <c r="J87">
        <f t="shared" si="7"/>
        <v>0</v>
      </c>
      <c r="K87">
        <f t="shared" si="8"/>
        <v>1.9900005089983071E-2</v>
      </c>
      <c r="L87">
        <f t="shared" si="9"/>
        <v>-3.9170352914736792</v>
      </c>
    </row>
    <row r="88" spans="1:12" x14ac:dyDescent="0.3">
      <c r="A88">
        <v>83</v>
      </c>
      <c r="B88">
        <v>37.339750000000002</v>
      </c>
      <c r="C88">
        <v>40.123891999999998</v>
      </c>
      <c r="D88">
        <v>30.374258000000001</v>
      </c>
      <c r="E88">
        <v>20.648700000000002</v>
      </c>
      <c r="F88">
        <v>167.63120000000001</v>
      </c>
      <c r="G88">
        <v>1</v>
      </c>
      <c r="H88">
        <f t="shared" si="5"/>
        <v>-0.65430462140520707</v>
      </c>
      <c r="I88">
        <f t="shared" si="6"/>
        <v>0.34202015740282588</v>
      </c>
      <c r="J88">
        <f t="shared" si="7"/>
        <v>0</v>
      </c>
      <c r="K88">
        <f t="shared" si="8"/>
        <v>0.34202015740282588</v>
      </c>
      <c r="L88">
        <f t="shared" si="9"/>
        <v>-1.0728856038820676</v>
      </c>
    </row>
    <row r="89" spans="1:12" x14ac:dyDescent="0.3">
      <c r="A89">
        <v>84</v>
      </c>
      <c r="B89">
        <v>14.473699999999999</v>
      </c>
      <c r="C89">
        <v>140.934211</v>
      </c>
      <c r="D89">
        <v>9.3421050000000001</v>
      </c>
      <c r="E89">
        <v>3.0701999999999998</v>
      </c>
      <c r="F89">
        <v>37.596499999999999</v>
      </c>
      <c r="G89">
        <v>1</v>
      </c>
      <c r="H89">
        <f t="shared" si="5"/>
        <v>1.7084527818999398</v>
      </c>
      <c r="I89">
        <f t="shared" si="6"/>
        <v>0.8466354952329832</v>
      </c>
      <c r="J89">
        <f t="shared" si="7"/>
        <v>1</v>
      </c>
      <c r="K89">
        <f t="shared" si="8"/>
        <v>0.8466354952329832</v>
      </c>
      <c r="L89">
        <f t="shared" si="9"/>
        <v>-0.16648502496937095</v>
      </c>
    </row>
    <row r="90" spans="1:12" x14ac:dyDescent="0.3">
      <c r="A90">
        <v>85</v>
      </c>
      <c r="B90">
        <v>1269.2434000000001</v>
      </c>
      <c r="C90">
        <v>18.659200999999999</v>
      </c>
      <c r="D90">
        <v>10.154643</v>
      </c>
      <c r="E90">
        <v>107.2208</v>
      </c>
      <c r="F90">
        <v>246.0558</v>
      </c>
      <c r="G90">
        <v>0</v>
      </c>
      <c r="H90">
        <f t="shared" si="5"/>
        <v>-24.342679415458079</v>
      </c>
      <c r="I90">
        <f t="shared" si="6"/>
        <v>2.6798387034980153E-11</v>
      </c>
      <c r="J90">
        <f t="shared" si="7"/>
        <v>0</v>
      </c>
      <c r="K90">
        <f t="shared" si="8"/>
        <v>0.99999999997320166</v>
      </c>
      <c r="L90">
        <f t="shared" si="9"/>
        <v>-2.6798341324156177E-11</v>
      </c>
    </row>
    <row r="91" spans="1:12" x14ac:dyDescent="0.3">
      <c r="A91">
        <v>86</v>
      </c>
      <c r="B91">
        <v>192.02699999999999</v>
      </c>
      <c r="C91">
        <v>30.881527000000002</v>
      </c>
      <c r="D91">
        <v>24.188658</v>
      </c>
      <c r="E91">
        <v>59.517200000000003</v>
      </c>
      <c r="F91">
        <v>100.23860000000001</v>
      </c>
      <c r="G91">
        <v>0</v>
      </c>
      <c r="H91">
        <f t="shared" si="5"/>
        <v>-3.2345855289656456</v>
      </c>
      <c r="I91">
        <f t="shared" si="6"/>
        <v>3.7884752207940346E-2</v>
      </c>
      <c r="J91">
        <f t="shared" si="7"/>
        <v>0</v>
      </c>
      <c r="K91">
        <f t="shared" si="8"/>
        <v>0.9621152477920597</v>
      </c>
      <c r="L91">
        <f t="shared" si="9"/>
        <v>-3.8621035292255142E-2</v>
      </c>
    </row>
    <row r="92" spans="1:12" x14ac:dyDescent="0.3">
      <c r="A92">
        <v>87</v>
      </c>
      <c r="B92">
        <v>220.07239999999999</v>
      </c>
      <c r="C92">
        <v>14.933961</v>
      </c>
      <c r="D92">
        <v>13.052915</v>
      </c>
      <c r="E92">
        <v>38.361199999999997</v>
      </c>
      <c r="F92">
        <v>125.27760000000001</v>
      </c>
      <c r="G92">
        <v>0</v>
      </c>
      <c r="H92">
        <f t="shared" si="5"/>
        <v>-2.4679373992371172</v>
      </c>
      <c r="I92">
        <f t="shared" si="6"/>
        <v>7.813667780292459E-2</v>
      </c>
      <c r="J92">
        <f t="shared" si="7"/>
        <v>0</v>
      </c>
      <c r="K92">
        <f t="shared" si="8"/>
        <v>0.92186332219707545</v>
      </c>
      <c r="L92">
        <f t="shared" si="9"/>
        <v>-8.1358306981425377E-2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F3D44B-1374-41AC-86DB-AC1243DE12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2025-11-26T20:42:25Z</dcterms:modified>
</cp:coreProperties>
</file>