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filterPrivacy="1" defaultThemeVersion="124226"/>
  <xr:revisionPtr revIDLastSave="0" documentId="13_ncr:1_{7BDA78D3-B21F-4913-A4BE-8A87982AB37D}" xr6:coauthVersionLast="47" xr6:coauthVersionMax="47" xr10:uidLastSave="{00000000-0000-0000-0000-000000000000}"/>
  <bookViews>
    <workbookView xWindow="-120" yWindow="-120" windowWidth="29040" windowHeight="15720" xr2:uid="{00000000-000D-0000-FFFF-FFFF00000000}"/>
  </bookViews>
  <sheets>
    <sheet name="Chapter2_Assignment"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6" i="2" l="1"/>
  <c r="C33" i="2" l="1" a="1"/>
  <c r="C33" i="2" s="1"/>
  <c r="D33" i="2" a="1"/>
  <c r="D33" i="2" s="1"/>
  <c r="E33" i="2" a="1"/>
  <c r="E33" i="2" s="1"/>
  <c r="F33" i="2" a="1"/>
  <c r="F33" i="2" s="1"/>
  <c r="G33" i="2" a="1"/>
  <c r="G33" i="2" s="1"/>
  <c r="H33" i="2" a="1"/>
  <c r="H33" i="2" s="1"/>
  <c r="I33" i="2" a="1"/>
  <c r="I33" i="2" s="1"/>
  <c r="J33" i="2" a="1"/>
  <c r="J33" i="2" s="1"/>
  <c r="K33" i="2" a="1"/>
  <c r="K33" i="2" s="1"/>
  <c r="B33" i="2" a="1"/>
  <c r="B33" i="2"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<sst xmlns="http://schemas.openxmlformats.org/spreadsheetml/2006/main" count="38" uniqueCount="16">
  <si>
    <t>Year</t>
  </si>
  <si>
    <t>Num high school graduates</t>
  </si>
  <si>
    <t>USA Economics</t>
  </si>
  <si>
    <t>comparable tuition fee</t>
  </si>
  <si>
    <t xml:space="preserve">financial scholarship </t>
  </si>
  <si>
    <t>financial aid available</t>
  </si>
  <si>
    <t>number of open house visitors</t>
  </si>
  <si>
    <t>media advertisement investment</t>
  </si>
  <si>
    <t>admission activities</t>
  </si>
  <si>
    <t>SAT cutoff</t>
  </si>
  <si>
    <t>Number of First Year Enrollment</t>
  </si>
  <si>
    <t>?</t>
  </si>
  <si>
    <t>NEW YEAR</t>
  </si>
  <si>
    <t>STT</t>
  </si>
  <si>
    <t>Hệ số</t>
  </si>
  <si>
    <t>tên cột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</si>
</sst>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Border="1"/>
    <xf numFmtId="0" fontId="0" fillId="0" borderId="0" xfId="0" applyFill="1" applyBorder="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184150</xdr:colOff>
      <xdr:row>0</xdr:row>
      <xdr:rowOff>50800</xdr:rowOff>
    </xdr:from>
    <xdr:to>
      <xdr:col>10</xdr:col>
      <xdr:colOff>393701</xdr:colOff>
      <xdr:row>13</xdr:row>
      <xdr:rowOff>142876</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857250" y="50800"/>
          <a:ext cx="9404351" cy="24860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The following is </a:t>
          </a:r>
          <a:r>
            <a:rPr lang="en-US" sz="1100" b="0" i="0" baseline="0">
              <a:solidFill>
                <a:srgbClr val="FF0000"/>
              </a:solidFill>
              <a:effectLst/>
              <a:latin typeface="+mn-lt"/>
              <a:ea typeface="+mn-ea"/>
              <a:cs typeface="+mn-cs"/>
            </a:rPr>
            <a:t>faked</a:t>
          </a:r>
          <a:r>
            <a:rPr lang="en-US" sz="1100" b="0" i="0" baseline="0">
              <a:solidFill>
                <a:schemeClr val="dk1"/>
              </a:solidFill>
              <a:effectLst/>
              <a:latin typeface="+mn-lt"/>
              <a:ea typeface="+mn-ea"/>
              <a:cs typeface="+mn-cs"/>
            </a:rPr>
            <a:t> data about a Connecticut university's ungraduate enrollment in the past 10 years.  </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1.understand the organization: what factors would affect the enrollment? Number of CT high school graduates, USA economics (job rate, growth rate), tuition fee comparable to universities around, scholarship available, finacial aid available, number of open house visitors,  TV or radio advertisement investment, number of admission activities in high schools, SAT cutoff, etc. There might be more factors, and some of them may not have any impact. Students are strongly encouraged to add more factors you think would matter. </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2. What we want to do is to based on the existing 10 years' data and then predict next year's  First Year enrollment.  </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In addition, please feel free to change the values.  They are just faked data.</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rgbClr val="FF0000"/>
              </a:solidFill>
              <a:effectLst/>
              <a:latin typeface="+mn-lt"/>
              <a:ea typeface="+mn-ea"/>
              <a:cs typeface="+mn-cs"/>
            </a:rPr>
            <a:t>Note, the LINEST function returns the coefficient array in the order of SAT cutoff, </a:t>
          </a:r>
          <a:r>
            <a:rPr lang="en-US" sz="1100" b="0" i="0" u="none" strike="noStrike">
              <a:solidFill>
                <a:srgbClr val="FF0000"/>
              </a:solidFill>
              <a:effectLst/>
              <a:latin typeface="+mn-lt"/>
              <a:ea typeface="+mn-ea"/>
              <a:cs typeface="+mn-cs"/>
            </a:rPr>
            <a:t>admission activities,</a:t>
          </a:r>
          <a:r>
            <a:rPr lang="en-US" sz="1100" b="0" i="0" u="none" strike="noStrike" baseline="0">
              <a:solidFill>
                <a:srgbClr val="FF0000"/>
              </a:solidFill>
              <a:effectLst/>
              <a:latin typeface="+mn-lt"/>
              <a:ea typeface="+mn-ea"/>
              <a:cs typeface="+mn-cs"/>
            </a:rPr>
            <a:t> </a:t>
          </a:r>
          <a:r>
            <a:rPr lang="en-US" sz="1100" b="0" i="0" u="none" strike="noStrike">
              <a:solidFill>
                <a:srgbClr val="FF0000"/>
              </a:solidFill>
              <a:effectLst/>
              <a:latin typeface="+mn-lt"/>
              <a:ea typeface="+mn-ea"/>
              <a:cs typeface="+mn-cs"/>
            </a:rPr>
            <a:t>media advertisement investment,</a:t>
          </a:r>
          <a:r>
            <a:rPr lang="en-US" sz="1100" b="0" i="0" u="none" strike="noStrike" baseline="0">
              <a:solidFill>
                <a:srgbClr val="FF0000"/>
              </a:solidFill>
              <a:effectLst/>
              <a:latin typeface="+mn-lt"/>
              <a:ea typeface="+mn-ea"/>
              <a:cs typeface="+mn-cs"/>
            </a:rPr>
            <a:t> number of open house visitors, financial aid available, financial scholarship, comparable tuition fee, USA Economics, Num high school graduates, and the intercept b.</a:t>
          </a:r>
          <a:endParaRPr lang="en-US" sz="1100" b="0" i="0" baseline="0">
            <a:solidFill>
              <a:srgbClr val="FF0000"/>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US">
            <a:effectLst/>
          </a:endParaRPr>
        </a:p>
        <a:p>
          <a:endParaRPr 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2:K46"/>
  <sheetViews>
    <sheetView tabSelected="1" workbookViewId="0">
      <selection activeCell="K55" sqref="K55"/>
    </sheetView>
  </sheetViews>
  <sheetFormatPr defaultRowHeight="15" x14ac:dyDescent="0.25"/>
  <cols>
    <col min="1" max="1" width="14.5703125" customWidth="1"/>
    <col min="2" max="2" width="27.42578125" customWidth="1"/>
    <col min="3" max="3" width="15.85546875" customWidth="1"/>
    <col min="4" max="4" width="23.85546875" customWidth="1"/>
    <col min="5" max="5" width="20.5703125" customWidth="1"/>
    <col min="6" max="6" width="21.28515625" customWidth="1"/>
    <col min="7" max="7" width="28.7109375" customWidth="1"/>
    <col min="8" max="8" width="30.7109375" customWidth="1"/>
    <col min="9" max="9" width="18.7109375" customWidth="1"/>
    <col min="10" max="10" width="14.140625" customWidth="1"/>
    <col min="11" max="11" width="30.28515625" customWidth="1"/>
    <col min="24" max="24" width="30.140625" bestFit="1" customWidth="1"/>
  </cols>
  <sheetData>
    <row r="12" spans="1:11" x14ac:dyDescent="0.25">
      <c r="A12" s="1"/>
      <c r="B12" s="1"/>
      <c r="C12" s="1"/>
      <c r="D12" s="1"/>
      <c r="E12" s="1"/>
      <c r="F12" s="1"/>
      <c r="G12" s="1"/>
      <c r="H12" s="1"/>
      <c r="I12" s="1"/>
      <c r="J12" s="1"/>
      <c r="K12" s="1"/>
    </row>
    <row r="18" spans="1:11" x14ac:dyDescent="0.25">
      <c r="A18" t="s">
        <v>0</v>
      </c>
      <c r="B18" t="s">
        <v>1</v>
      </c>
      <c r="C18" t="s">
        <v>2</v>
      </c>
      <c r="D18" t="s">
        <v>3</v>
      </c>
      <c r="E18" t="s">
        <v>4</v>
      </c>
      <c r="F18" t="s">
        <v>5</v>
      </c>
      <c r="G18" t="s">
        <v>6</v>
      </c>
      <c r="H18" t="s">
        <v>7</v>
      </c>
      <c r="I18" t="s">
        <v>8</v>
      </c>
      <c r="J18" t="s">
        <v>9</v>
      </c>
      <c r="K18" t="s">
        <v>10</v>
      </c>
    </row>
    <row r="19" spans="1:11" x14ac:dyDescent="0.25">
      <c r="A19">
        <v>2004</v>
      </c>
      <c r="B19">
        <v>25000</v>
      </c>
      <c r="C19">
        <v>3</v>
      </c>
      <c r="D19">
        <v>2</v>
      </c>
      <c r="E19">
        <v>3</v>
      </c>
      <c r="F19">
        <v>1</v>
      </c>
      <c r="G19">
        <v>1100</v>
      </c>
      <c r="H19">
        <v>13400</v>
      </c>
      <c r="I19">
        <v>20</v>
      </c>
      <c r="J19">
        <v>1000</v>
      </c>
      <c r="K19">
        <v>200</v>
      </c>
    </row>
    <row r="20" spans="1:11" x14ac:dyDescent="0.25">
      <c r="A20">
        <v>2005</v>
      </c>
      <c r="B20">
        <v>25600</v>
      </c>
      <c r="C20">
        <v>3</v>
      </c>
      <c r="D20">
        <v>2</v>
      </c>
      <c r="E20">
        <v>1</v>
      </c>
      <c r="F20">
        <v>2</v>
      </c>
      <c r="G20">
        <v>1005</v>
      </c>
      <c r="H20">
        <v>12900</v>
      </c>
      <c r="I20">
        <v>15</v>
      </c>
      <c r="J20">
        <v>980</v>
      </c>
      <c r="K20">
        <v>202</v>
      </c>
    </row>
    <row r="21" spans="1:11" x14ac:dyDescent="0.25">
      <c r="A21">
        <v>2006</v>
      </c>
      <c r="B21">
        <v>24367</v>
      </c>
      <c r="C21">
        <v>3</v>
      </c>
      <c r="D21">
        <v>3</v>
      </c>
      <c r="E21">
        <v>2</v>
      </c>
      <c r="F21">
        <v>3</v>
      </c>
      <c r="G21">
        <v>900</v>
      </c>
      <c r="H21">
        <v>8000</v>
      </c>
      <c r="I21">
        <v>8</v>
      </c>
      <c r="J21">
        <v>950</v>
      </c>
      <c r="K21">
        <v>188</v>
      </c>
    </row>
    <row r="22" spans="1:11" x14ac:dyDescent="0.25">
      <c r="A22">
        <v>2007</v>
      </c>
      <c r="B22">
        <v>25500</v>
      </c>
      <c r="C22">
        <v>3</v>
      </c>
      <c r="D22">
        <v>2</v>
      </c>
      <c r="E22">
        <v>2</v>
      </c>
      <c r="F22">
        <v>3</v>
      </c>
      <c r="G22">
        <v>980</v>
      </c>
      <c r="H22">
        <v>8000</v>
      </c>
      <c r="I22">
        <v>11</v>
      </c>
      <c r="J22">
        <v>1020</v>
      </c>
      <c r="K22">
        <v>209</v>
      </c>
    </row>
    <row r="23" spans="1:11" x14ac:dyDescent="0.25">
      <c r="A23">
        <v>2008</v>
      </c>
      <c r="B23">
        <v>28321</v>
      </c>
      <c r="C23">
        <v>2</v>
      </c>
      <c r="D23">
        <v>3</v>
      </c>
      <c r="E23">
        <v>3</v>
      </c>
      <c r="F23">
        <v>1</v>
      </c>
      <c r="G23">
        <v>1212</v>
      </c>
      <c r="H23">
        <v>7500</v>
      </c>
      <c r="I23">
        <v>18</v>
      </c>
      <c r="J23">
        <v>1000</v>
      </c>
      <c r="K23">
        <v>232</v>
      </c>
    </row>
    <row r="24" spans="1:11" x14ac:dyDescent="0.25">
      <c r="A24">
        <v>2009</v>
      </c>
      <c r="B24">
        <v>28759</v>
      </c>
      <c r="C24">
        <v>1</v>
      </c>
      <c r="D24">
        <v>1</v>
      </c>
      <c r="E24">
        <v>3</v>
      </c>
      <c r="F24">
        <v>3</v>
      </c>
      <c r="G24">
        <v>1220</v>
      </c>
      <c r="H24">
        <v>10000</v>
      </c>
      <c r="I24">
        <v>19</v>
      </c>
      <c r="J24">
        <v>1010</v>
      </c>
      <c r="K24">
        <v>220</v>
      </c>
    </row>
    <row r="25" spans="1:11" x14ac:dyDescent="0.25">
      <c r="A25">
        <v>2010</v>
      </c>
      <c r="B25">
        <v>25431</v>
      </c>
      <c r="C25">
        <v>1</v>
      </c>
      <c r="D25">
        <v>1</v>
      </c>
      <c r="E25">
        <v>1</v>
      </c>
      <c r="F25">
        <v>1</v>
      </c>
      <c r="G25">
        <v>987</v>
      </c>
      <c r="H25">
        <v>8000</v>
      </c>
      <c r="I25">
        <v>10</v>
      </c>
      <c r="J25">
        <v>950</v>
      </c>
      <c r="K25">
        <v>188</v>
      </c>
    </row>
    <row r="26" spans="1:11" x14ac:dyDescent="0.25">
      <c r="A26">
        <v>2011</v>
      </c>
      <c r="B26">
        <v>24678</v>
      </c>
      <c r="C26">
        <v>1</v>
      </c>
      <c r="D26">
        <v>1</v>
      </c>
      <c r="E26">
        <v>1</v>
      </c>
      <c r="F26">
        <v>2</v>
      </c>
      <c r="G26">
        <v>899</v>
      </c>
      <c r="H26">
        <v>7500</v>
      </c>
      <c r="I26">
        <v>8</v>
      </c>
      <c r="J26">
        <v>1000</v>
      </c>
      <c r="K26">
        <v>179</v>
      </c>
    </row>
    <row r="27" spans="1:11" x14ac:dyDescent="0.25">
      <c r="A27">
        <v>2012</v>
      </c>
      <c r="B27">
        <v>24987</v>
      </c>
      <c r="C27">
        <v>2</v>
      </c>
      <c r="D27">
        <v>2</v>
      </c>
      <c r="E27">
        <v>2</v>
      </c>
      <c r="F27">
        <v>3</v>
      </c>
      <c r="G27">
        <v>1488</v>
      </c>
      <c r="H27">
        <v>11000</v>
      </c>
      <c r="I27">
        <v>7</v>
      </c>
      <c r="J27">
        <v>1000</v>
      </c>
      <c r="K27">
        <v>190</v>
      </c>
    </row>
    <row r="28" spans="1:11" x14ac:dyDescent="0.25">
      <c r="A28">
        <v>2013</v>
      </c>
      <c r="B28">
        <v>25100</v>
      </c>
      <c r="C28">
        <v>2</v>
      </c>
      <c r="D28">
        <v>3</v>
      </c>
      <c r="E28">
        <v>2</v>
      </c>
      <c r="F28">
        <v>3</v>
      </c>
      <c r="G28">
        <v>900</v>
      </c>
      <c r="H28">
        <v>11000</v>
      </c>
      <c r="I28">
        <v>10</v>
      </c>
      <c r="J28">
        <v>1000</v>
      </c>
      <c r="K28">
        <v>175</v>
      </c>
    </row>
    <row r="29" spans="1:11" x14ac:dyDescent="0.25">
      <c r="A29" s="1" t="s">
        <v>12</v>
      </c>
      <c r="B29" s="1">
        <v>25500</v>
      </c>
      <c r="C29" s="1">
        <v>3</v>
      </c>
      <c r="D29" s="1">
        <v>3</v>
      </c>
      <c r="E29" s="1">
        <v>2</v>
      </c>
      <c r="F29" s="1">
        <v>2</v>
      </c>
      <c r="G29" s="1">
        <v>1130</v>
      </c>
      <c r="H29" s="1">
        <v>9000</v>
      </c>
      <c r="I29" s="1">
        <v>20</v>
      </c>
      <c r="J29" s="1">
        <v>1000</v>
      </c>
      <c r="K29" s="1" t="s">
        <v>11</v>
      </c>
    </row>
    <row r="31" spans="1:11" x14ac:dyDescent="0.25">
      <c r="A31" t="s">
        <v>13</v>
      </c>
      <c r="B31" s="2">
        <v>9</v>
      </c>
      <c r="C31" s="2">
        <v>8</v>
      </c>
      <c r="D31" s="2">
        <v>7</v>
      </c>
      <c r="E31" s="2">
        <v>6</v>
      </c>
      <c r="F31" s="2">
        <v>5</v>
      </c>
      <c r="G31" s="2">
        <v>4</v>
      </c>
      <c r="H31" s="2">
        <v>3</v>
      </c>
      <c r="I31" s="2">
        <v>2</v>
      </c>
      <c r="J31" s="2">
        <v>1</v>
      </c>
      <c r="K31" s="2">
        <v>10</v>
      </c>
    </row>
    <row r="32" spans="1:11" x14ac:dyDescent="0.25">
      <c r="A32" s="2" t="s">
        <v>15</v>
      </c>
      <c r="B32" t="s">
        <v>1</v>
      </c>
      <c r="C32" t="s">
        <v>2</v>
      </c>
      <c r="D32" t="s">
        <v>3</v>
      </c>
      <c r="E32" t="s">
        <v>4</v>
      </c>
      <c r="F32" t="s">
        <v>5</v>
      </c>
      <c r="G32" t="s">
        <v>6</v>
      </c>
      <c r="H32" t="s">
        <v>7</v>
      </c>
      <c r="I32" t="s">
        <v>8</v>
      </c>
      <c r="J32" t="s">
        <v>9</v>
      </c>
      <c r="K32" t="s">
        <v>10</v>
      </c>
    </row>
    <row r="33" spans="1:11" x14ac:dyDescent="0.25">
      <c r="A33" s="3" t="s">
        <v>14</v>
      </c>
      <c r="B33" s="2" cm="1">
        <f t="array" ref="B33">INDEX(LINEST($K$19:$K$28,$B$19:$J$28,TRUE,TRUE),1,B31)</f>
        <v>8.022617052500073E-3</v>
      </c>
      <c r="C33" s="2" cm="1">
        <f t="array" ref="C33">INDEX(LINEST($K$19:$K$28,$B$19:$J$28,TRUE,TRUE),1,C31)</f>
        <v>12.768361330113445</v>
      </c>
      <c r="D33" s="2" cm="1">
        <f t="array" ref="D33">INDEX(LINEST($K$19:$K$28,$B$19:$J$28,TRUE,TRUE),1,D31)</f>
        <v>-3.0913091208724119</v>
      </c>
      <c r="E33" s="2" cm="1">
        <f t="array" ref="E33">INDEX(LINEST($K$19:$K$28,$B$19:$J$28,TRUE,TRUE),1,E31)</f>
        <v>-3.4269548881982765</v>
      </c>
      <c r="F33" s="2" cm="1">
        <f t="array" ref="F33">INDEX(LINEST($K$19:$K$28,$B$19:$J$28,TRUE,TRUE),1,F31)</f>
        <v>-1.0429358975602736</v>
      </c>
      <c r="G33" s="2" cm="1">
        <f t="array" ref="G33">INDEX(LINEST($K$19:$K$28,$B$19:$J$28,TRUE,TRUE),1,G31)</f>
        <v>2.8911713838573206E-2</v>
      </c>
      <c r="H33" s="2" cm="1">
        <f t="array" ref="H33">INDEX(LINEST($K$19:$K$28,$B$19:$J$28,TRUE,TRUE),1,H31)</f>
        <v>-3.5200578571288493E-3</v>
      </c>
      <c r="I33" s="2" cm="1">
        <f t="array" ref="I33">INDEX(LINEST($K$19:$K$28,$B$19:$J$28,TRUE,TRUE),1,I31)</f>
        <v>1.3949470436736482</v>
      </c>
      <c r="J33" s="2" cm="1">
        <f t="array" ref="J33">INDEX(LINEST($K$19:$K$28,$B$19:$J$28,TRUE,TRUE),1,J31)</f>
        <v>3.3161250293402882E-2</v>
      </c>
      <c r="K33" s="2" cm="1">
        <f t="array" ref="K33">INDEX(LINEST($K$19:$K$28,$B$19:$J$28,TRUE,TRUE),1,K31)</f>
        <v>-67.058392602722009</v>
      </c>
    </row>
    <row r="34" spans="1:11" x14ac:dyDescent="0.25">
      <c r="A34" s="2"/>
      <c r="B34" s="2"/>
      <c r="C34" s="2"/>
      <c r="D34" s="2"/>
      <c r="E34" s="2"/>
      <c r="F34" s="2"/>
      <c r="G34" s="2"/>
      <c r="H34" s="2"/>
      <c r="I34" s="2"/>
      <c r="J34" s="2"/>
      <c r="K34" s="2"/>
    </row>
    <row r="35" spans="1:11" x14ac:dyDescent="0.25">
      <c r="A35" t="s">
        <v>0</v>
      </c>
      <c r="B35" t="s">
        <v>1</v>
      </c>
      <c r="C35" t="s">
        <v>2</v>
      </c>
      <c r="D35" t="s">
        <v>3</v>
      </c>
      <c r="E35" t="s">
        <v>4</v>
      </c>
      <c r="F35" t="s">
        <v>5</v>
      </c>
      <c r="G35" t="s">
        <v>6</v>
      </c>
      <c r="H35" t="s">
        <v>7</v>
      </c>
      <c r="I35" t="s">
        <v>8</v>
      </c>
      <c r="J35" t="s">
        <v>9</v>
      </c>
      <c r="K35" t="s">
        <v>10</v>
      </c>
    </row>
    <row r="36" spans="1:11" x14ac:dyDescent="0.25">
      <c r="A36">
        <v>2004</v>
      </c>
      <c r="B36">
        <v>25000</v>
      </c>
      <c r="C36">
        <v>3</v>
      </c>
      <c r="D36">
        <v>2</v>
      </c>
      <c r="E36">
        <v>3</v>
      </c>
      <c r="F36">
        <v>1</v>
      </c>
      <c r="G36">
        <v>1100</v>
      </c>
      <c r="H36">
        <v>13400</v>
      </c>
      <c r="I36">
        <v>20</v>
      </c>
      <c r="J36">
        <v>1000</v>
      </c>
      <c r="K36">
        <v>200</v>
      </c>
    </row>
    <row r="37" spans="1:11" x14ac:dyDescent="0.25">
      <c r="A37">
        <v>2005</v>
      </c>
      <c r="B37">
        <v>25600</v>
      </c>
      <c r="C37">
        <v>3</v>
      </c>
      <c r="D37">
        <v>2</v>
      </c>
      <c r="E37">
        <v>1</v>
      </c>
      <c r="F37">
        <v>2</v>
      </c>
      <c r="G37">
        <v>1005</v>
      </c>
      <c r="H37">
        <v>12900</v>
      </c>
      <c r="I37">
        <v>15</v>
      </c>
      <c r="J37">
        <v>980</v>
      </c>
      <c r="K37">
        <v>202</v>
      </c>
    </row>
    <row r="38" spans="1:11" x14ac:dyDescent="0.25">
      <c r="A38">
        <v>2006</v>
      </c>
      <c r="B38">
        <v>24367</v>
      </c>
      <c r="C38">
        <v>3</v>
      </c>
      <c r="D38">
        <v>3</v>
      </c>
      <c r="E38">
        <v>2</v>
      </c>
      <c r="F38">
        <v>3</v>
      </c>
      <c r="G38">
        <v>900</v>
      </c>
      <c r="H38">
        <v>8000</v>
      </c>
      <c r="I38">
        <v>8</v>
      </c>
      <c r="J38">
        <v>950</v>
      </c>
      <c r="K38">
        <v>188</v>
      </c>
    </row>
    <row r="39" spans="1:11" x14ac:dyDescent="0.25">
      <c r="A39">
        <v>2007</v>
      </c>
      <c r="B39">
        <v>25500</v>
      </c>
      <c r="C39">
        <v>3</v>
      </c>
      <c r="D39">
        <v>2</v>
      </c>
      <c r="E39">
        <v>2</v>
      </c>
      <c r="F39">
        <v>3</v>
      </c>
      <c r="G39">
        <v>980</v>
      </c>
      <c r="H39">
        <v>8000</v>
      </c>
      <c r="I39">
        <v>11</v>
      </c>
      <c r="J39">
        <v>1020</v>
      </c>
      <c r="K39">
        <v>209</v>
      </c>
    </row>
    <row r="40" spans="1:11" x14ac:dyDescent="0.25">
      <c r="A40">
        <v>2008</v>
      </c>
      <c r="B40">
        <v>28321</v>
      </c>
      <c r="C40">
        <v>2</v>
      </c>
      <c r="D40">
        <v>3</v>
      </c>
      <c r="E40">
        <v>3</v>
      </c>
      <c r="F40">
        <v>1</v>
      </c>
      <c r="G40">
        <v>1212</v>
      </c>
      <c r="H40">
        <v>7500</v>
      </c>
      <c r="I40">
        <v>18</v>
      </c>
      <c r="J40">
        <v>1000</v>
      </c>
      <c r="K40">
        <v>232</v>
      </c>
    </row>
    <row r="41" spans="1:11" x14ac:dyDescent="0.25">
      <c r="A41">
        <v>2009</v>
      </c>
      <c r="B41">
        <v>28759</v>
      </c>
      <c r="C41">
        <v>1</v>
      </c>
      <c r="D41">
        <v>1</v>
      </c>
      <c r="E41">
        <v>3</v>
      </c>
      <c r="F41">
        <v>3</v>
      </c>
      <c r="G41">
        <v>1220</v>
      </c>
      <c r="H41">
        <v>10000</v>
      </c>
      <c r="I41">
        <v>19</v>
      </c>
      <c r="J41">
        <v>1010</v>
      </c>
      <c r="K41">
        <v>220</v>
      </c>
    </row>
    <row r="42" spans="1:11" x14ac:dyDescent="0.25">
      <c r="A42">
        <v>2010</v>
      </c>
      <c r="B42">
        <v>25431</v>
      </c>
      <c r="C42">
        <v>1</v>
      </c>
      <c r="D42">
        <v>1</v>
      </c>
      <c r="E42">
        <v>1</v>
      </c>
      <c r="F42">
        <v>1</v>
      </c>
      <c r="G42">
        <v>987</v>
      </c>
      <c r="H42">
        <v>8000</v>
      </c>
      <c r="I42">
        <v>10</v>
      </c>
      <c r="J42">
        <v>950</v>
      </c>
      <c r="K42">
        <v>188</v>
      </c>
    </row>
    <row r="43" spans="1:11" x14ac:dyDescent="0.25">
      <c r="A43">
        <v>2011</v>
      </c>
      <c r="B43">
        <v>24678</v>
      </c>
      <c r="C43">
        <v>1</v>
      </c>
      <c r="D43">
        <v>1</v>
      </c>
      <c r="E43">
        <v>1</v>
      </c>
      <c r="F43">
        <v>2</v>
      </c>
      <c r="G43">
        <v>899</v>
      </c>
      <c r="H43">
        <v>7500</v>
      </c>
      <c r="I43">
        <v>8</v>
      </c>
      <c r="J43">
        <v>1000</v>
      </c>
      <c r="K43">
        <v>179</v>
      </c>
    </row>
    <row r="44" spans="1:11" x14ac:dyDescent="0.25">
      <c r="A44">
        <v>2012</v>
      </c>
      <c r="B44">
        <v>24987</v>
      </c>
      <c r="C44">
        <v>2</v>
      </c>
      <c r="D44">
        <v>2</v>
      </c>
      <c r="E44">
        <v>2</v>
      </c>
      <c r="F44">
        <v>3</v>
      </c>
      <c r="G44">
        <v>1488</v>
      </c>
      <c r="H44">
        <v>11000</v>
      </c>
      <c r="I44">
        <v>7</v>
      </c>
      <c r="J44">
        <v>1000</v>
      </c>
      <c r="K44">
        <v>190</v>
      </c>
    </row>
    <row r="45" spans="1:11" x14ac:dyDescent="0.25">
      <c r="A45">
        <v>2013</v>
      </c>
      <c r="B45">
        <v>25100</v>
      </c>
      <c r="C45">
        <v>2</v>
      </c>
      <c r="D45">
        <v>3</v>
      </c>
      <c r="E45">
        <v>2</v>
      </c>
      <c r="F45">
        <v>3</v>
      </c>
      <c r="G45">
        <v>900</v>
      </c>
      <c r="H45">
        <v>11000</v>
      </c>
      <c r="I45">
        <v>10</v>
      </c>
      <c r="J45">
        <v>1000</v>
      </c>
      <c r="K45">
        <v>175</v>
      </c>
    </row>
    <row r="46" spans="1:11" x14ac:dyDescent="0.25">
      <c r="A46" s="1" t="s">
        <v>12</v>
      </c>
      <c r="B46" s="1">
        <v>25500</v>
      </c>
      <c r="C46" s="1">
        <v>3</v>
      </c>
      <c r="D46" s="1">
        <v>3</v>
      </c>
      <c r="E46" s="1">
        <v>2</v>
      </c>
      <c r="F46" s="1">
        <v>2</v>
      </c>
      <c r="G46" s="1">
        <v>1130</v>
      </c>
      <c r="H46" s="1">
        <v>9000</v>
      </c>
      <c r="I46" s="1">
        <v>20</v>
      </c>
      <c r="J46" s="1">
        <v>1000</v>
      </c>
      <c r="K46" s="1">
        <f>ROUND(SUMPRODUCT(B46:J46,B33:J33)+K33,0)</f>
        <v>220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Chapter2_Assignment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2025-11-25T13:17:47Z</dcterms:modified>
</cp:coreProperties>
</file>